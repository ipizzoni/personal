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melda.barnes\Documents\Personal\"/>
    </mc:Choice>
  </mc:AlternateContent>
  <xr:revisionPtr revIDLastSave="0" documentId="13_ncr:1_{3097D4C6-ADFE-4BB3-BD82-24AC9B33A14E}" xr6:coauthVersionLast="46" xr6:coauthVersionMax="46" xr10:uidLastSave="{00000000-0000-0000-0000-000000000000}"/>
  <bookViews>
    <workbookView xWindow="-108" yWindow="-108" windowWidth="23256" windowHeight="12720" xr2:uid="{449CA181-EECF-48D8-9BFC-A9AAF03C61C8}"/>
  </bookViews>
  <sheets>
    <sheet name="Stonks" sheetId="1" r:id="rId1"/>
    <sheet name="sample paths" sheetId="3" r:id="rId2"/>
    <sheet name="Calc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3" i="1" l="1"/>
  <c r="G22" i="1"/>
  <c r="I4" i="2"/>
  <c r="H9" i="2" s="1"/>
  <c r="I3" i="2"/>
  <c r="H8" i="2" s="1"/>
  <c r="I8" i="2" s="1"/>
  <c r="I2" i="2"/>
  <c r="H7" i="2" s="1"/>
  <c r="I9" i="2" l="1"/>
  <c r="I7" i="2"/>
</calcChain>
</file>

<file path=xl/sharedStrings.xml><?xml version="1.0" encoding="utf-8"?>
<sst xmlns="http://schemas.openxmlformats.org/spreadsheetml/2006/main" count="142" uniqueCount="45">
  <si>
    <t>Profit:</t>
  </si>
  <si>
    <t>Price =</t>
  </si>
  <si>
    <t xml:space="preserve">Quantity held = </t>
  </si>
  <si>
    <t>Riskiness</t>
  </si>
  <si>
    <t>Mean</t>
  </si>
  <si>
    <t>Sd</t>
  </si>
  <si>
    <t>Buying on</t>
  </si>
  <si>
    <t>day 3</t>
  </si>
  <si>
    <t>day 4</t>
  </si>
  <si>
    <t>day 9</t>
  </si>
  <si>
    <t>Closing out quarter end</t>
  </si>
  <si>
    <t>day 23</t>
  </si>
  <si>
    <t>Selling on</t>
  </si>
  <si>
    <t>volatility</t>
  </si>
  <si>
    <t>expected return</t>
  </si>
  <si>
    <t>day 8</t>
  </si>
  <si>
    <t>day 11</t>
  </si>
  <si>
    <t>day 19</t>
  </si>
  <si>
    <t>day 15</t>
  </si>
  <si>
    <t>day 7</t>
  </si>
  <si>
    <t>day 24</t>
  </si>
  <si>
    <t>day 20</t>
  </si>
  <si>
    <t>day 5</t>
  </si>
  <si>
    <t>day 6</t>
  </si>
  <si>
    <t>day 10</t>
  </si>
  <si>
    <t>day 12</t>
  </si>
  <si>
    <t>day 13</t>
  </si>
  <si>
    <t>day 14</t>
  </si>
  <si>
    <t>day 16</t>
  </si>
  <si>
    <t>day 17</t>
  </si>
  <si>
    <t>day 18</t>
  </si>
  <si>
    <t>day 21</t>
  </si>
  <si>
    <t>day 27</t>
  </si>
  <si>
    <t>day 28</t>
  </si>
  <si>
    <t>day 38</t>
  </si>
  <si>
    <t>day 22</t>
  </si>
  <si>
    <t>day 25</t>
  </si>
  <si>
    <t>day 37</t>
  </si>
  <si>
    <t>day 39</t>
  </si>
  <si>
    <t>day 41</t>
  </si>
  <si>
    <t>Remaining stock sold = 41</t>
  </si>
  <si>
    <t>Current price</t>
  </si>
  <si>
    <t>day 42</t>
  </si>
  <si>
    <t>day 43</t>
  </si>
  <si>
    <t>Remaining stock sold =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</si>
</sst>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3" x14ac:knownFonts="1"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1" xfId="0" applyNumberFormat="1" applyBorder="1"/>
    <xf numFmtId="164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Fill="1"/>
    <xf numFmtId="0" fontId="2" fillId="0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Your Stocks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Calc!$B$1:$B$91</c:f>
              <c:numCache>
                <c:formatCode>General</c:formatCode>
                <c:ptCount val="91"/>
                <c:pt idx="0">
                  <c:v>100</c:v>
                </c:pt>
                <c:pt idx="1">
                  <c:v>173.81206557459328</c:v>
                </c:pt>
                <c:pt idx="2">
                  <c:v>125.69197523612654</c:v>
                </c:pt>
                <c:pt idx="3">
                  <c:v>228.13996860944053</c:v>
                </c:pt>
                <c:pt idx="4">
                  <c:v>301.02066206754307</c:v>
                </c:pt>
                <c:pt idx="5">
                  <c:v>314.9452473986197</c:v>
                </c:pt>
                <c:pt idx="6">
                  <c:v>289.94183929774977</c:v>
                </c:pt>
                <c:pt idx="7">
                  <c:v>240.14312317932098</c:v>
                </c:pt>
                <c:pt idx="8">
                  <c:v>154.52771222652177</c:v>
                </c:pt>
                <c:pt idx="9">
                  <c:v>110.60834584060053</c:v>
                </c:pt>
                <c:pt idx="10">
                  <c:v>118.3174205696946</c:v>
                </c:pt>
                <c:pt idx="11">
                  <c:v>191.74822153571299</c:v>
                </c:pt>
                <c:pt idx="12">
                  <c:v>403.26354694109239</c:v>
                </c:pt>
                <c:pt idx="13">
                  <c:v>604.18838396192461</c:v>
                </c:pt>
                <c:pt idx="14">
                  <c:v>444.21853891347922</c:v>
                </c:pt>
                <c:pt idx="15">
                  <c:v>389.40832384757323</c:v>
                </c:pt>
                <c:pt idx="16">
                  <c:v>571.75238374328205</c:v>
                </c:pt>
                <c:pt idx="17">
                  <c:v>1016.1482815409382</c:v>
                </c:pt>
                <c:pt idx="18">
                  <c:v>1103.1129808023838</c:v>
                </c:pt>
                <c:pt idx="19">
                  <c:v>1419.0403653449773</c:v>
                </c:pt>
                <c:pt idx="20">
                  <c:v>1081.0461049849289</c:v>
                </c:pt>
                <c:pt idx="21">
                  <c:v>1559.0173165468989</c:v>
                </c:pt>
                <c:pt idx="22">
                  <c:v>2480.2346895360515</c:v>
                </c:pt>
                <c:pt idx="23">
                  <c:v>2816.8991993738796</c:v>
                </c:pt>
                <c:pt idx="24">
                  <c:v>1855.9164726795959</c:v>
                </c:pt>
                <c:pt idx="25">
                  <c:v>1181.9402079732115</c:v>
                </c:pt>
                <c:pt idx="26">
                  <c:v>1066.5293697168045</c:v>
                </c:pt>
                <c:pt idx="27">
                  <c:v>1114.4897841217351</c:v>
                </c:pt>
                <c:pt idx="28">
                  <c:v>1174.7947077967922</c:v>
                </c:pt>
                <c:pt idx="29">
                  <c:v>861.16224378513846</c:v>
                </c:pt>
                <c:pt idx="30">
                  <c:v>2065.749782004897</c:v>
                </c:pt>
                <c:pt idx="31">
                  <c:v>1393.9509464672781</c:v>
                </c:pt>
                <c:pt idx="32">
                  <c:v>1031.6531992195366</c:v>
                </c:pt>
                <c:pt idx="33">
                  <c:v>591.51300646092977</c:v>
                </c:pt>
                <c:pt idx="34">
                  <c:v>1184.4255538837153</c:v>
                </c:pt>
                <c:pt idx="35">
                  <c:v>2067.0639667006376</c:v>
                </c:pt>
                <c:pt idx="36">
                  <c:v>2021.6198957477054</c:v>
                </c:pt>
                <c:pt idx="37">
                  <c:v>2419.4544484632038</c:v>
                </c:pt>
                <c:pt idx="38">
                  <c:v>3007.3042721902784</c:v>
                </c:pt>
                <c:pt idx="39">
                  <c:v>1800.950881534631</c:v>
                </c:pt>
                <c:pt idx="40">
                  <c:v>2127.0509588199789</c:v>
                </c:pt>
                <c:pt idx="41">
                  <c:v>2992.7704860021686</c:v>
                </c:pt>
                <c:pt idx="42">
                  <c:v>2239.6154288023508</c:v>
                </c:pt>
                <c:pt idx="43">
                  <c:v>2245.9467966472062</c:v>
                </c:pt>
                <c:pt idx="44">
                  <c:v>2552.6971103374467</c:v>
                </c:pt>
                <c:pt idx="45">
                  <c:v>2333.2614374718778</c:v>
                </c:pt>
                <c:pt idx="46">
                  <c:v>2601.1515811368945</c:v>
                </c:pt>
                <c:pt idx="47">
                  <c:v>2805.3382914525246</c:v>
                </c:pt>
                <c:pt idx="48">
                  <c:v>2811.7211481165909</c:v>
                </c:pt>
                <c:pt idx="49">
                  <c:v>3522.4260275725519</c:v>
                </c:pt>
                <c:pt idx="50">
                  <c:v>2166.0742661768672</c:v>
                </c:pt>
                <c:pt idx="51">
                  <c:v>2503.210766528327</c:v>
                </c:pt>
                <c:pt idx="52">
                  <c:v>4148.411703358488</c:v>
                </c:pt>
                <c:pt idx="53">
                  <c:v>6447.4626530299811</c:v>
                </c:pt>
                <c:pt idx="54">
                  <c:v>7235.3344523135747</c:v>
                </c:pt>
                <c:pt idx="55">
                  <c:v>11984.532643022485</c:v>
                </c:pt>
                <c:pt idx="56">
                  <c:v>10628.914489916038</c:v>
                </c:pt>
                <c:pt idx="57">
                  <c:v>11797.806111073536</c:v>
                </c:pt>
                <c:pt idx="58">
                  <c:v>15294.936107080619</c:v>
                </c:pt>
                <c:pt idx="59">
                  <c:v>23296.664204670404</c:v>
                </c:pt>
                <c:pt idx="60">
                  <c:v>21977.984115898376</c:v>
                </c:pt>
                <c:pt idx="61">
                  <c:v>45511.185560337544</c:v>
                </c:pt>
                <c:pt idx="62">
                  <c:v>46927.609768845527</c:v>
                </c:pt>
                <c:pt idx="63">
                  <c:v>39252.156184953295</c:v>
                </c:pt>
                <c:pt idx="64">
                  <c:v>48885.854914166819</c:v>
                </c:pt>
                <c:pt idx="65">
                  <c:v>29006.675025237524</c:v>
                </c:pt>
                <c:pt idx="66">
                  <c:v>37580.829736892483</c:v>
                </c:pt>
                <c:pt idx="67">
                  <c:v>49255.552426875904</c:v>
                </c:pt>
                <c:pt idx="68">
                  <c:v>36951.533827317988</c:v>
                </c:pt>
                <c:pt idx="69">
                  <c:v>50428.018161868669</c:v>
                </c:pt>
                <c:pt idx="70">
                  <c:v>88551.48133213009</c:v>
                </c:pt>
                <c:pt idx="71">
                  <c:v>103632.14647347054</c:v>
                </c:pt>
                <c:pt idx="72">
                  <c:v>89773.859137062915</c:v>
                </c:pt>
                <c:pt idx="73">
                  <c:v>60479.42059614521</c:v>
                </c:pt>
                <c:pt idx="74">
                  <c:v>47583.338167213216</c:v>
                </c:pt>
                <c:pt idx="75">
                  <c:v>76892.638643180311</c:v>
                </c:pt>
                <c:pt idx="76">
                  <c:v>128853.8411523391</c:v>
                </c:pt>
                <c:pt idx="77">
                  <c:v>82058.440099025203</c:v>
                </c:pt>
                <c:pt idx="78">
                  <c:v>112760.14309430876</c:v>
                </c:pt>
                <c:pt idx="79">
                  <c:v>227579.54052366913</c:v>
                </c:pt>
                <c:pt idx="80">
                  <c:v>411124.86401270935</c:v>
                </c:pt>
                <c:pt idx="81">
                  <c:v>540486.03193331917</c:v>
                </c:pt>
                <c:pt idx="82">
                  <c:v>399123.68636036135</c:v>
                </c:pt>
                <c:pt idx="83">
                  <c:v>564452.74934555439</c:v>
                </c:pt>
                <c:pt idx="84">
                  <c:v>640508.5547926767</c:v>
                </c:pt>
                <c:pt idx="85">
                  <c:v>492859.08982221555</c:v>
                </c:pt>
                <c:pt idx="86">
                  <c:v>676140.77880635241</c:v>
                </c:pt>
                <c:pt idx="87">
                  <c:v>640923.03815071285</c:v>
                </c:pt>
                <c:pt idx="88">
                  <c:v>1084006.0299803338</c:v>
                </c:pt>
                <c:pt idx="89">
                  <c:v>948969.7151514549</c:v>
                </c:pt>
                <c:pt idx="90">
                  <c:v>1501153.016709436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1B-4848-9464-3DF07AD37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933871"/>
        <c:axId val="1556934703"/>
      </c:lineChart>
      <c:catAx>
        <c:axId val="1556933871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56934703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1556934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56933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577850</xdr:colOff>
      <xdr:row>1</xdr:row>
      <xdr:rowOff>12700</xdr:rowOff>
    </xdr:from>
    <xdr:to>
      <xdr:col>8</xdr:col>
      <xdr:colOff>273050</xdr:colOff>
      <xdr:row>18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152400</xdr:rowOff>
        </xdr:from>
        <xdr:to>
          <xdr:col>12</xdr:col>
          <xdr:colOff>7620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Reset/Start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5</xdr:row>
          <xdr:rowOff>160020</xdr:rowOff>
        </xdr:from>
        <xdr:to>
          <xdr:col>11</xdr:col>
          <xdr:colOff>784860</xdr:colOff>
          <xdr:row>9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6</xdr:row>
          <xdr:rowOff>0</xdr:rowOff>
        </xdr:from>
        <xdr:to>
          <xdr:col>14</xdr:col>
          <xdr:colOff>7620</xdr:colOff>
          <xdr:row>9</xdr:row>
          <xdr:rowOff>7620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20</xdr:row>
          <xdr:rowOff>160020</xdr:rowOff>
        </xdr:from>
        <xdr:to>
          <xdr:col>5</xdr:col>
          <xdr:colOff>7620</xdr:colOff>
          <xdr:row>22</xdr:row>
          <xdr:rowOff>68580</xdr:rowOff>
        </xdr:to>
        <xdr:sp macro="" textlink="">
          <xdr:nvSpPr>
            <xdr:cNvPr id="2052" name="ScrollBar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69850</xdr:colOff>
      <xdr:row>0</xdr:row>
      <xdr:rowOff>63500</xdr:rowOff>
    </xdr:from>
    <xdr:to>
      <xdr:col>7</xdr:col>
      <xdr:colOff>411625</xdr:colOff>
      <xdr:row>17</xdr:row>
      <xdr:rowOff>89898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69850" y="63500"/>
          <a:ext cx="4608975" cy="272514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</xdr:pic>
    <xdr:clientData/>
  </xdr:twoCellAnchor>
  <xdr:twoCellAnchor editAs="oneCell">
    <xdr:from>
      <xdr:col>7</xdr:col>
      <xdr:colOff>451758</xdr:colOff>
      <xdr:row>0</xdr:row>
      <xdr:rowOff>66222</xdr:rowOff>
    </xdr:from>
    <xdr:to>
      <xdr:col>15</xdr:col>
      <xdr:colOff>183933</xdr:colOff>
      <xdr:row>17</xdr:row>
      <xdr:rowOff>92620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4706258" y="66222"/>
          <a:ext cx="4594461" cy="280225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</xdr:pic>
    <xdr:clientData/>
  </xdr:twoCellAnchor>
  <xdr:twoCellAnchor editAs="oneCell">
    <xdr:from>
      <xdr:col>0</xdr:col>
      <xdr:colOff>72571</xdr:colOff>
      <xdr:row>17</xdr:row>
      <xdr:rowOff>154214</xdr:rowOff>
    </xdr:from>
    <xdr:to>
      <xdr:col>7</xdr:col>
      <xdr:colOff>427046</xdr:colOff>
      <xdr:row>34</xdr:row>
      <xdr:rowOff>103505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72571" y="2930071"/>
          <a:ext cx="4608975" cy="2725148"/>
        </a:xfrm>
        <a:prstGeom prst="rect">
          <a:avLst/>
        </a:prstGeom>
      </xdr:spPr>
    </xdr:pic>
    <xdr:clientData/>
  </xdr:twoCellAnchor>
  <xdr:twoCellAnchor editAs="oneCell">
    <xdr:from>
      <xdr:col>7</xdr:col>
      <xdr:colOff>462643</xdr:colOff>
      <xdr:row>18</xdr:row>
      <xdr:rowOff>9071</xdr:rowOff>
    </xdr:from>
    <xdr:to>
      <xdr:col>15</xdr:col>
      <xdr:colOff>209332</xdr:colOff>
      <xdr:row>34</xdr:row>
      <xdr:rowOff>121648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4717143" y="2948214"/>
          <a:ext cx="4608975" cy="2725148"/>
        </a:xfrm>
        <a:prstGeom prst="rect">
          <a:avLst/>
        </a:prstGeom>
      </xdr:spPr>
    </xdr:pic>
    <xdr:clientData/>
  </xdr:twoCellAnchor>
  <xdr:twoCellAnchor editAs="oneCell">
    <xdr:from>
      <xdr:col>0</xdr:col>
      <xdr:colOff>90715</xdr:colOff>
      <xdr:row>34</xdr:row>
      <xdr:rowOff>136072</xdr:rowOff>
    </xdr:from>
    <xdr:to>
      <xdr:col>7</xdr:col>
      <xdr:colOff>445190</xdr:colOff>
      <xdr:row>51</xdr:row>
      <xdr:rowOff>85363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prstClr val="black"/>
            <a:srgbClr val="FF0000">
              <a:tint val="45000"/>
              <a:satMod val="400000"/>
            </a:srgbClr>
          </a:duotone>
        </a:blip>
        <a:stretch>
          <a:fillRect/>
        </a:stretch>
      </xdr:blipFill>
      <xdr:spPr>
        <a:xfrm>
          <a:off x="90715" y="5687786"/>
          <a:ext cx="4608975" cy="2725148"/>
        </a:xfrm>
        <a:prstGeom prst="rect">
          <a:avLst/>
        </a:prstGeom>
      </xdr:spPr>
    </xdr:pic>
    <xdr:clientData/>
  </xdr:twoCellAnchor>
  <xdr:twoCellAnchor editAs="oneCell">
    <xdr:from>
      <xdr:col>15</xdr:col>
      <xdr:colOff>272144</xdr:colOff>
      <xdr:row>34</xdr:row>
      <xdr:rowOff>145142</xdr:rowOff>
    </xdr:from>
    <xdr:to>
      <xdr:col>23</xdr:col>
      <xdr:colOff>18834</xdr:colOff>
      <xdr:row>51</xdr:row>
      <xdr:rowOff>94433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prstClr val="black"/>
            <a:srgbClr val="FF0000">
              <a:tint val="45000"/>
              <a:satMod val="400000"/>
            </a:srgbClr>
          </a:duotone>
        </a:blip>
        <a:stretch>
          <a:fillRect/>
        </a:stretch>
      </xdr:blipFill>
      <xdr:spPr>
        <a:xfrm>
          <a:off x="9388930" y="5696856"/>
          <a:ext cx="4608975" cy="2725148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254000</xdr:colOff>
      <xdr:row>17</xdr:row>
      <xdr:rowOff>163285</xdr:rowOff>
    </xdr:from>
    <xdr:to>
      <xdr:col>23</xdr:col>
      <xdr:colOff>690</xdr:colOff>
      <xdr:row>34</xdr:row>
      <xdr:rowOff>112576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9370786" y="2939142"/>
          <a:ext cx="4608975" cy="2725148"/>
        </a:xfrm>
        <a:prstGeom prst="rect">
          <a:avLst/>
        </a:prstGeom>
      </xdr:spPr>
    </xdr:pic>
    <xdr:clientData/>
  </xdr:twoCellAnchor>
  <xdr:twoCellAnchor editAs="oneCell">
    <xdr:from>
      <xdr:col>15</xdr:col>
      <xdr:colOff>253998</xdr:colOff>
      <xdr:row>0</xdr:row>
      <xdr:rowOff>72571</xdr:rowOff>
    </xdr:from>
    <xdr:to>
      <xdr:col>23</xdr:col>
      <xdr:colOff>688</xdr:colOff>
      <xdr:row>17</xdr:row>
      <xdr:rowOff>90714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9370784" y="72571"/>
          <a:ext cx="4608975" cy="2794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</xdr:pic>
    <xdr:clientData/>
  </xdr:twoCellAnchor>
  <xdr:twoCellAnchor editAs="oneCell">
    <xdr:from>
      <xdr:col>7</xdr:col>
      <xdr:colOff>489856</xdr:colOff>
      <xdr:row>34</xdr:row>
      <xdr:rowOff>145143</xdr:rowOff>
    </xdr:from>
    <xdr:to>
      <xdr:col>15</xdr:col>
      <xdr:colOff>236545</xdr:colOff>
      <xdr:row>51</xdr:row>
      <xdr:rowOff>94434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duotone>
            <a:prstClr val="black"/>
            <a:srgbClr val="FF0000">
              <a:tint val="45000"/>
              <a:satMod val="400000"/>
            </a:srgbClr>
          </a:duotone>
        </a:blip>
        <a:stretch>
          <a:fillRect/>
        </a:stretch>
      </xdr:blipFill>
      <xdr:spPr>
        <a:xfrm>
          <a:off x="4744356" y="5696857"/>
          <a:ext cx="4608975" cy="27251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02E14-F41D-414C-BD15-E55047F12FFE}">
  <sheetPr codeName="Sheet1"/>
  <dimension ref="C1:V53"/>
  <sheetViews>
    <sheetView tabSelected="1" zoomScale="85" zoomScaleNormal="85" workbookViewId="0">
      <selection activeCell="L25" sqref="L25"/>
    </sheetView>
  </sheetViews>
  <sheetFormatPr defaultRowHeight="13.2" x14ac:dyDescent="0.25"/>
  <cols>
    <col min="11" max="11" width="10.77734375" customWidth="1"/>
    <col min="12" max="12" width="6.5546875" bestFit="1" customWidth="1"/>
    <col min="13" max="13" width="12.88671875" style="3" bestFit="1" customWidth="1"/>
    <col min="14" max="14" width="7.6640625" style="2" bestFit="1" customWidth="1"/>
    <col min="15" max="15" width="14.44140625" customWidth="1"/>
    <col min="16" max="16" width="3" bestFit="1" customWidth="1"/>
    <col min="17" max="17" width="11.109375" customWidth="1"/>
    <col min="18" max="18" width="10.33203125" customWidth="1"/>
    <col min="19" max="19" width="7" style="3" bestFit="1" customWidth="1"/>
    <col min="20" max="20" width="12.88671875" style="2" bestFit="1" customWidth="1"/>
    <col min="21" max="21" width="21.77734375" style="3" bestFit="1" customWidth="1"/>
    <col min="22" max="22" width="3" bestFit="1" customWidth="1"/>
  </cols>
  <sheetData>
    <row r="1" spans="12:22" x14ac:dyDescent="0.25">
      <c r="Q1" t="s">
        <v>6</v>
      </c>
      <c r="R1" t="s">
        <v>7</v>
      </c>
      <c r="S1" s="3" t="s">
        <v>1</v>
      </c>
      <c r="T1" s="2">
        <v>125.69197523612654</v>
      </c>
      <c r="U1" s="3" t="s">
        <v>2</v>
      </c>
      <c r="V1">
        <v>1</v>
      </c>
    </row>
    <row r="2" spans="12:22" x14ac:dyDescent="0.25">
      <c r="N2" s="2" t="s">
        <v>0</v>
      </c>
      <c r="O2" s="1">
        <v>12023304.918267591</v>
      </c>
      <c r="Q2" t="s">
        <v>6</v>
      </c>
      <c r="R2" t="s">
        <v>8</v>
      </c>
      <c r="S2" s="3" t="s">
        <v>1</v>
      </c>
      <c r="T2" s="2">
        <v>228.13996860944053</v>
      </c>
      <c r="U2" s="3" t="s">
        <v>2</v>
      </c>
      <c r="V2">
        <v>2</v>
      </c>
    </row>
    <row r="3" spans="12:22" x14ac:dyDescent="0.25">
      <c r="Q3" t="s">
        <v>6</v>
      </c>
      <c r="R3" t="s">
        <v>22</v>
      </c>
      <c r="S3" s="3" t="s">
        <v>1</v>
      </c>
      <c r="T3" s="2">
        <v>301.02066206754307</v>
      </c>
      <c r="U3" s="3" t="s">
        <v>2</v>
      </c>
      <c r="V3">
        <v>3</v>
      </c>
    </row>
    <row r="4" spans="12:22" x14ac:dyDescent="0.25">
      <c r="Q4" t="s">
        <v>6</v>
      </c>
      <c r="R4" t="s">
        <v>23</v>
      </c>
      <c r="S4" s="3" t="s">
        <v>1</v>
      </c>
      <c r="T4" s="2">
        <v>314.9452473986197</v>
      </c>
      <c r="U4" s="3" t="s">
        <v>2</v>
      </c>
      <c r="V4">
        <v>4</v>
      </c>
    </row>
    <row r="5" spans="12:22" x14ac:dyDescent="0.25">
      <c r="Q5" t="s">
        <v>6</v>
      </c>
      <c r="R5" t="s">
        <v>19</v>
      </c>
      <c r="S5" s="3" t="s">
        <v>1</v>
      </c>
      <c r="T5" s="2">
        <v>289.94183929774977</v>
      </c>
      <c r="U5" s="3" t="s">
        <v>2</v>
      </c>
      <c r="V5">
        <v>5</v>
      </c>
    </row>
    <row r="6" spans="12:22" x14ac:dyDescent="0.25">
      <c r="Q6" t="s">
        <v>6</v>
      </c>
      <c r="R6" t="s">
        <v>15</v>
      </c>
      <c r="S6" s="3" t="s">
        <v>1</v>
      </c>
      <c r="T6" s="2">
        <v>240.14312317932098</v>
      </c>
      <c r="U6" s="3" t="s">
        <v>2</v>
      </c>
      <c r="V6">
        <v>6</v>
      </c>
    </row>
    <row r="7" spans="12:22" x14ac:dyDescent="0.25">
      <c r="Q7" t="s">
        <v>6</v>
      </c>
      <c r="R7" t="s">
        <v>9</v>
      </c>
      <c r="S7" s="3" t="s">
        <v>1</v>
      </c>
      <c r="T7" s="2">
        <v>154.52771222652177</v>
      </c>
      <c r="U7" s="3" t="s">
        <v>2</v>
      </c>
      <c r="V7">
        <v>7</v>
      </c>
    </row>
    <row r="8" spans="12:22" x14ac:dyDescent="0.25">
      <c r="Q8" t="s">
        <v>6</v>
      </c>
      <c r="R8" t="s">
        <v>24</v>
      </c>
      <c r="S8" s="3" t="s">
        <v>1</v>
      </c>
      <c r="T8" s="2">
        <v>110.60834584060053</v>
      </c>
      <c r="U8" s="3" t="s">
        <v>2</v>
      </c>
      <c r="V8">
        <v>8</v>
      </c>
    </row>
    <row r="9" spans="12:22" x14ac:dyDescent="0.25">
      <c r="Q9" t="s">
        <v>6</v>
      </c>
      <c r="R9" t="s">
        <v>16</v>
      </c>
      <c r="S9" s="3" t="s">
        <v>1</v>
      </c>
      <c r="T9" s="2">
        <v>118.3174205696946</v>
      </c>
      <c r="U9" s="3" t="s">
        <v>2</v>
      </c>
      <c r="V9">
        <v>9</v>
      </c>
    </row>
    <row r="10" spans="12:22" x14ac:dyDescent="0.25">
      <c r="Q10" t="s">
        <v>6</v>
      </c>
      <c r="R10" t="s">
        <v>25</v>
      </c>
      <c r="S10" s="3" t="s">
        <v>1</v>
      </c>
      <c r="T10" s="2">
        <v>191.74822153571299</v>
      </c>
      <c r="U10" s="3" t="s">
        <v>2</v>
      </c>
      <c r="V10">
        <v>10</v>
      </c>
    </row>
    <row r="11" spans="12:22" x14ac:dyDescent="0.25">
      <c r="L11" s="3" t="s">
        <v>41</v>
      </c>
      <c r="M11" s="8">
        <v>1501153.016709436</v>
      </c>
      <c r="Q11" t="s">
        <v>6</v>
      </c>
      <c r="R11" t="s">
        <v>26</v>
      </c>
      <c r="S11" s="3" t="s">
        <v>1</v>
      </c>
      <c r="T11" s="2">
        <v>403.26354694109239</v>
      </c>
      <c r="U11" s="3" t="s">
        <v>2</v>
      </c>
      <c r="V11">
        <v>11</v>
      </c>
    </row>
    <row r="12" spans="12:22" x14ac:dyDescent="0.25">
      <c r="Q12" t="s">
        <v>6</v>
      </c>
      <c r="R12" t="s">
        <v>27</v>
      </c>
      <c r="S12" s="3" t="s">
        <v>1</v>
      </c>
      <c r="T12" s="2">
        <v>604.18838396192461</v>
      </c>
      <c r="U12" s="3" t="s">
        <v>2</v>
      </c>
      <c r="V12">
        <v>12</v>
      </c>
    </row>
    <row r="13" spans="12:22" x14ac:dyDescent="0.25">
      <c r="Q13" t="s">
        <v>6</v>
      </c>
      <c r="R13" t="s">
        <v>18</v>
      </c>
      <c r="S13" s="3" t="s">
        <v>1</v>
      </c>
      <c r="T13" s="2">
        <v>444.21853891347922</v>
      </c>
      <c r="U13" s="3" t="s">
        <v>2</v>
      </c>
      <c r="V13">
        <v>13</v>
      </c>
    </row>
    <row r="14" spans="12:22" x14ac:dyDescent="0.25">
      <c r="Q14" t="s">
        <v>6</v>
      </c>
      <c r="R14" t="s">
        <v>28</v>
      </c>
      <c r="S14" s="3" t="s">
        <v>1</v>
      </c>
      <c r="T14" s="2">
        <v>389.40832384757323</v>
      </c>
      <c r="U14" s="3" t="s">
        <v>2</v>
      </c>
      <c r="V14">
        <v>14</v>
      </c>
    </row>
    <row r="15" spans="12:22" x14ac:dyDescent="0.25">
      <c r="Q15" t="s">
        <v>6</v>
      </c>
      <c r="R15" t="s">
        <v>29</v>
      </c>
      <c r="S15" s="3" t="s">
        <v>1</v>
      </c>
      <c r="T15" s="2">
        <v>571.75238374328205</v>
      </c>
      <c r="U15" s="3" t="s">
        <v>2</v>
      </c>
      <c r="V15">
        <v>15</v>
      </c>
    </row>
    <row r="16" spans="12:22" x14ac:dyDescent="0.25">
      <c r="Q16" t="s">
        <v>6</v>
      </c>
      <c r="R16" t="s">
        <v>30</v>
      </c>
      <c r="S16" s="3" t="s">
        <v>1</v>
      </c>
      <c r="T16" s="2">
        <v>1016.1482815409382</v>
      </c>
      <c r="U16" s="3" t="s">
        <v>2</v>
      </c>
      <c r="V16">
        <v>16</v>
      </c>
    </row>
    <row r="17" spans="3:22" x14ac:dyDescent="0.25">
      <c r="Q17" t="s">
        <v>6</v>
      </c>
      <c r="R17" t="s">
        <v>17</v>
      </c>
      <c r="S17" s="3" t="s">
        <v>1</v>
      </c>
      <c r="T17" s="2">
        <v>1103.1129808023838</v>
      </c>
      <c r="U17" s="3" t="s">
        <v>2</v>
      </c>
      <c r="V17">
        <v>17</v>
      </c>
    </row>
    <row r="18" spans="3:22" x14ac:dyDescent="0.25">
      <c r="Q18" t="s">
        <v>12</v>
      </c>
      <c r="R18" t="s">
        <v>17</v>
      </c>
      <c r="S18" s="3" t="s">
        <v>1</v>
      </c>
      <c r="T18" s="2">
        <v>1103.1129808023838</v>
      </c>
      <c r="U18" s="3" t="s">
        <v>2</v>
      </c>
      <c r="V18">
        <v>16</v>
      </c>
    </row>
    <row r="19" spans="3:22" x14ac:dyDescent="0.25">
      <c r="Q19" t="s">
        <v>12</v>
      </c>
      <c r="R19" t="s">
        <v>21</v>
      </c>
      <c r="S19" s="3" t="s">
        <v>1</v>
      </c>
      <c r="T19" s="2">
        <v>1419.0403653449773</v>
      </c>
      <c r="U19" s="3" t="s">
        <v>2</v>
      </c>
      <c r="V19">
        <v>15</v>
      </c>
    </row>
    <row r="20" spans="3:22" x14ac:dyDescent="0.25">
      <c r="Q20" t="s">
        <v>12</v>
      </c>
      <c r="R20" t="s">
        <v>31</v>
      </c>
      <c r="S20" s="3" t="s">
        <v>1</v>
      </c>
      <c r="T20" s="2">
        <v>1081.0461049849289</v>
      </c>
      <c r="U20" s="3" t="s">
        <v>2</v>
      </c>
      <c r="V20">
        <v>14</v>
      </c>
    </row>
    <row r="21" spans="3:22" x14ac:dyDescent="0.25">
      <c r="C21" s="4"/>
      <c r="D21" s="5" t="s">
        <v>3</v>
      </c>
      <c r="E21" s="4"/>
      <c r="Q21" t="s">
        <v>12</v>
      </c>
      <c r="R21" t="s">
        <v>35</v>
      </c>
      <c r="S21" s="3" t="s">
        <v>1</v>
      </c>
      <c r="T21" s="2">
        <v>1559.0173165468989</v>
      </c>
      <c r="U21" s="3" t="s">
        <v>2</v>
      </c>
      <c r="V21">
        <v>13</v>
      </c>
    </row>
    <row r="22" spans="3:22" x14ac:dyDescent="0.25">
      <c r="C22" s="4"/>
      <c r="D22" s="4"/>
      <c r="E22" s="4"/>
      <c r="G22" s="7" t="str">
        <f>"Expected " &amp; TEXT(VLOOKUP(Calc!$F$1,Calc!$G$7:$I$9,2,FALSE)-1, "#0%") &amp; " return per day"</f>
        <v>Expected 10% return per day</v>
      </c>
      <c r="Q22" t="s">
        <v>12</v>
      </c>
      <c r="R22" t="s">
        <v>11</v>
      </c>
      <c r="S22" s="3" t="s">
        <v>1</v>
      </c>
      <c r="T22" s="2">
        <v>2480.2346895360515</v>
      </c>
      <c r="U22" s="3" t="s">
        <v>2</v>
      </c>
      <c r="V22">
        <v>12</v>
      </c>
    </row>
    <row r="23" spans="3:22" x14ac:dyDescent="0.25">
      <c r="C23" s="4"/>
      <c r="D23" s="4"/>
      <c r="E23" s="4"/>
      <c r="G23" s="7" t="str">
        <f>"at " &amp; TEXT(VLOOKUP(Calc!$F$1,Calc!$G$7:$I$9,3,FALSE), "#0.0%") &amp; " volatility"</f>
        <v>at 50.3% volatility</v>
      </c>
      <c r="Q23" t="s">
        <v>12</v>
      </c>
      <c r="R23" t="s">
        <v>20</v>
      </c>
      <c r="S23" s="3" t="s">
        <v>1</v>
      </c>
      <c r="T23" s="2">
        <v>2816.8991993738796</v>
      </c>
      <c r="U23" s="3" t="s">
        <v>2</v>
      </c>
      <c r="V23">
        <v>11</v>
      </c>
    </row>
    <row r="24" spans="3:22" x14ac:dyDescent="0.25">
      <c r="C24" s="4"/>
      <c r="D24" s="4"/>
      <c r="E24" s="4"/>
      <c r="Q24" t="s">
        <v>12</v>
      </c>
      <c r="R24" t="s">
        <v>36</v>
      </c>
      <c r="S24" s="3" t="s">
        <v>1</v>
      </c>
      <c r="T24" s="2">
        <v>1855.9164726795959</v>
      </c>
      <c r="U24" s="3" t="s">
        <v>2</v>
      </c>
      <c r="V24">
        <v>10</v>
      </c>
    </row>
    <row r="25" spans="3:22" x14ac:dyDescent="0.25">
      <c r="C25" s="6"/>
      <c r="D25" s="6"/>
      <c r="E25" s="6"/>
      <c r="Q25" t="s">
        <v>6</v>
      </c>
      <c r="R25" t="s">
        <v>32</v>
      </c>
      <c r="S25" s="3" t="s">
        <v>1</v>
      </c>
      <c r="T25" s="2">
        <v>1066.5293697168045</v>
      </c>
      <c r="U25" s="3" t="s">
        <v>2</v>
      </c>
      <c r="V25">
        <v>11</v>
      </c>
    </row>
    <row r="26" spans="3:22" x14ac:dyDescent="0.25">
      <c r="Q26" t="s">
        <v>6</v>
      </c>
      <c r="R26" t="s">
        <v>33</v>
      </c>
      <c r="S26" s="3" t="s">
        <v>1</v>
      </c>
      <c r="T26" s="2">
        <v>1114.4897841217351</v>
      </c>
      <c r="U26" s="3" t="s">
        <v>2</v>
      </c>
      <c r="V26">
        <v>12</v>
      </c>
    </row>
    <row r="27" spans="3:22" x14ac:dyDescent="0.25">
      <c r="Q27" t="s">
        <v>12</v>
      </c>
      <c r="R27" t="s">
        <v>37</v>
      </c>
      <c r="S27" s="3" t="s">
        <v>1</v>
      </c>
      <c r="T27" s="2">
        <v>2021.6198957477054</v>
      </c>
      <c r="U27" s="3" t="s">
        <v>2</v>
      </c>
      <c r="V27">
        <v>11</v>
      </c>
    </row>
    <row r="28" spans="3:22" x14ac:dyDescent="0.25">
      <c r="Q28" t="s">
        <v>12</v>
      </c>
      <c r="R28" t="s">
        <v>34</v>
      </c>
      <c r="S28" s="3" t="s">
        <v>1</v>
      </c>
      <c r="T28" s="2">
        <v>2419.4544484632038</v>
      </c>
      <c r="U28" s="3" t="s">
        <v>2</v>
      </c>
      <c r="V28">
        <v>10</v>
      </c>
    </row>
    <row r="29" spans="3:22" x14ac:dyDescent="0.25">
      <c r="Q29" t="s">
        <v>12</v>
      </c>
      <c r="R29" t="s">
        <v>38</v>
      </c>
      <c r="S29" s="3" t="s">
        <v>1</v>
      </c>
      <c r="T29" s="2">
        <v>3007.3042721902784</v>
      </c>
      <c r="U29" s="3" t="s">
        <v>2</v>
      </c>
      <c r="V29">
        <v>9</v>
      </c>
    </row>
    <row r="30" spans="3:22" x14ac:dyDescent="0.25">
      <c r="Q30" t="s">
        <v>6</v>
      </c>
      <c r="R30" t="s">
        <v>39</v>
      </c>
      <c r="S30" s="3" t="s">
        <v>1</v>
      </c>
      <c r="T30" s="2">
        <v>2127.0509588199789</v>
      </c>
      <c r="U30" s="3" t="s">
        <v>2</v>
      </c>
      <c r="V30">
        <v>10</v>
      </c>
    </row>
    <row r="31" spans="3:22" x14ac:dyDescent="0.25">
      <c r="Q31" t="s">
        <v>12</v>
      </c>
      <c r="R31" t="s">
        <v>42</v>
      </c>
      <c r="S31" s="3" t="s">
        <v>1</v>
      </c>
      <c r="T31" s="2">
        <v>2992.7704860021686</v>
      </c>
      <c r="U31" s="3" t="s">
        <v>2</v>
      </c>
      <c r="V31">
        <v>9</v>
      </c>
    </row>
    <row r="32" spans="3:22" x14ac:dyDescent="0.25">
      <c r="Q32" t="s">
        <v>12</v>
      </c>
      <c r="R32" t="s">
        <v>43</v>
      </c>
      <c r="S32" s="3" t="s">
        <v>1</v>
      </c>
      <c r="T32" s="2">
        <v>2239.6154288023508</v>
      </c>
      <c r="U32" s="3" t="s">
        <v>2</v>
      </c>
      <c r="V32">
        <v>8</v>
      </c>
    </row>
    <row r="33" spans="17:21" x14ac:dyDescent="0.25"/>
    <row r="34" spans="17:21" x14ac:dyDescent="0.25">
      <c r="Q34" t="s">
        <v>10</v>
      </c>
      <c r="S34" s="3" t="s">
        <v>1</v>
      </c>
      <c r="T34" s="2">
        <v>1501153.016709436</v>
      </c>
      <c r="U34" s="3" t="s">
        <v>44</v>
      </c>
    </row>
    <row r="35" spans="17:21" x14ac:dyDescent="0.25"/>
    <row r="36" spans="17:21" x14ac:dyDescent="0.25"/>
    <row r="37" spans="17:21" x14ac:dyDescent="0.25"/>
    <row r="38" spans="17:21" x14ac:dyDescent="0.25"/>
    <row r="39" spans="17:21" x14ac:dyDescent="0.25"/>
    <row r="41" spans="17:21" x14ac:dyDescent="0.25"/>
    <row r="53" spans="11:15" x14ac:dyDescent="0.25">
      <c r="K53" t="s">
        <v>10</v>
      </c>
      <c r="M53" s="3" t="s">
        <v>1</v>
      </c>
      <c r="N53" s="2">
        <v>182.44030469935254</v>
      </c>
      <c r="O53" t="s">
        <v>40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ScrollBar1">
          <controlPr defaultSize="0" autoLine="0" autoPict="0" linkedCell="Calc!F1" r:id="rId5">
            <anchor moveWithCells="1">
              <from>
                <xdr:col>3</xdr:col>
                <xdr:colOff>7620</xdr:colOff>
                <xdr:row>20</xdr:row>
                <xdr:rowOff>160020</xdr:rowOff>
              </from>
              <to>
                <xdr:col>5</xdr:col>
                <xdr:colOff>7620</xdr:colOff>
                <xdr:row>22</xdr:row>
                <xdr:rowOff>68580</xdr:rowOff>
              </to>
            </anchor>
          </controlPr>
        </control>
      </mc:Choice>
      <mc:Fallback>
        <control shapeId="2052" r:id="rId4" name="ScrollBar1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Start">
            <anchor moveWithCells="1" sizeWithCells="1">
              <from>
                <xdr:col>10</xdr:col>
                <xdr:colOff>0</xdr:colOff>
                <xdr:row>0</xdr:row>
                <xdr:rowOff>152400</xdr:rowOff>
              </from>
              <to>
                <xdr:col>12</xdr:col>
                <xdr:colOff>7620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7" name="Button 2">
          <controlPr defaultSize="0" print="0" autoFill="0" autoPict="0" macro="[0]!buy">
            <anchor moveWithCells="1" sizeWithCells="1">
              <from>
                <xdr:col>9</xdr:col>
                <xdr:colOff>601980</xdr:colOff>
                <xdr:row>5</xdr:row>
                <xdr:rowOff>160020</xdr:rowOff>
              </from>
              <to>
                <xdr:col>11</xdr:col>
                <xdr:colOff>784860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8" name="Button 3">
          <controlPr defaultSize="0" print="0" autoFill="0" autoPict="0" macro="[0]!sell">
            <anchor moveWithCells="1" sizeWithCells="1">
              <from>
                <xdr:col>12</xdr:col>
                <xdr:colOff>7620</xdr:colOff>
                <xdr:row>6</xdr:row>
                <xdr:rowOff>0</xdr:rowOff>
              </from>
              <to>
                <xdr:col>14</xdr:col>
                <xdr:colOff>7620</xdr:colOff>
                <xdr:row>9</xdr:row>
                <xdr:rowOff>7620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814E-B8BF-494D-A2F4-2B0274B1F80A}">
  <sheetPr codeName="Sheet3"/>
  <dimension ref="A1"/>
  <sheetViews>
    <sheetView topLeftCell="A4" zoomScale="70" zoomScaleNormal="70" workbookViewId="0">
      <selection activeCell="M54" sqref="M54"/>
    </sheetView>
  </sheetViews>
  <sheetFormatPr defaultRowHeight="13.2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A0A1C-6399-48B3-8D88-0DB2D4069A5D}">
  <sheetPr codeName="Sheet2"/>
  <dimension ref="A1:I91"/>
  <sheetViews>
    <sheetView topLeftCell="A70" zoomScale="85" zoomScaleNormal="85" workbookViewId="0">
      <selection activeCell="B89" sqref="B89"/>
    </sheetView>
  </sheetViews>
  <sheetFormatPr defaultRowHeight="13.2" x14ac:dyDescent="0.25"/>
  <cols>
    <col min="8" max="8" width="13.33203125" bestFit="1" customWidth="1"/>
    <col min="9" max="9" width="11.77734375" bestFit="1" customWidth="1"/>
  </cols>
  <sheetData>
    <row r="1" spans="1:9" x14ac:dyDescent="0.25">
      <c r="A1">
        <v>0</v>
      </c>
      <c r="B1">
        <v>100</v>
      </c>
      <c r="F1">
        <v>3</v>
      </c>
      <c r="G1" t="s">
        <v>3</v>
      </c>
      <c r="H1" t="s">
        <v>4</v>
      </c>
      <c r="I1" t="s">
        <v>5</v>
      </c>
    </row>
    <row r="2" spans="1:9" x14ac:dyDescent="0.25">
      <c r="A2">
        <v>1</v>
      </c>
      <c r="B2">
        <v>173.81206557459328</v>
      </c>
      <c r="G2">
        <v>1</v>
      </c>
      <c r="H2">
        <v>8.9598350032235596E-3</v>
      </c>
      <c r="I2">
        <f>H2*5</f>
        <v>4.4799175016117798E-2</v>
      </c>
    </row>
    <row r="3" spans="1:9" x14ac:dyDescent="0.25">
      <c r="A3">
        <v>2</v>
      </c>
      <c r="B3">
        <v>125.69197523612654</v>
      </c>
      <c r="G3">
        <v>2</v>
      </c>
      <c r="H3">
        <v>2.7718068808572131E-2</v>
      </c>
      <c r="I3">
        <f>H3*7.5</f>
        <v>0.20788551606429098</v>
      </c>
    </row>
    <row r="4" spans="1:9" x14ac:dyDescent="0.25">
      <c r="A4">
        <v>3</v>
      </c>
      <c r="B4">
        <v>228.13996860944053</v>
      </c>
      <c r="G4">
        <v>3</v>
      </c>
      <c r="H4">
        <v>3.4823830194144777E-2</v>
      </c>
      <c r="I4">
        <f>H4*10</f>
        <v>0.34823830194144778</v>
      </c>
    </row>
    <row r="5" spans="1:9" x14ac:dyDescent="0.25">
      <c r="A5">
        <v>4</v>
      </c>
      <c r="B5">
        <v>301.02066206754307</v>
      </c>
    </row>
    <row r="6" spans="1:9" x14ac:dyDescent="0.25">
      <c r="A6">
        <v>5</v>
      </c>
      <c r="B6">
        <v>314.9452473986197</v>
      </c>
      <c r="H6" t="s">
        <v>14</v>
      </c>
      <c r="I6" t="s">
        <v>13</v>
      </c>
    </row>
    <row r="7" spans="1:9" x14ac:dyDescent="0.25">
      <c r="A7">
        <v>6</v>
      </c>
      <c r="B7">
        <v>289.94183929774977</v>
      </c>
      <c r="G7">
        <v>1</v>
      </c>
      <c r="H7">
        <f>EXP(H2+0.5*I2^2)</f>
        <v>1.0100131171482063</v>
      </c>
      <c r="I7">
        <f>H7^2*(EXP(I2^2-1))</f>
        <v>0.37603750326908014</v>
      </c>
    </row>
    <row r="8" spans="1:9" x14ac:dyDescent="0.25">
      <c r="A8">
        <v>7</v>
      </c>
      <c r="B8">
        <v>240.14312317932098</v>
      </c>
      <c r="G8">
        <v>2</v>
      </c>
      <c r="H8">
        <f t="shared" ref="H8:H9" si="0">EXP(H3+0.5*I3^2)</f>
        <v>1.0505630543733151</v>
      </c>
      <c r="I8">
        <f t="shared" ref="I8:I9" si="1">H8^2*(EXP(I3^2-1))</f>
        <v>0.42395367499593745</v>
      </c>
    </row>
    <row r="9" spans="1:9" x14ac:dyDescent="0.25">
      <c r="A9">
        <v>8</v>
      </c>
      <c r="B9">
        <v>154.52771222652177</v>
      </c>
      <c r="G9">
        <v>3</v>
      </c>
      <c r="H9">
        <f t="shared" si="0"/>
        <v>1.1001634807922509</v>
      </c>
      <c r="I9">
        <f t="shared" si="1"/>
        <v>0.50267446275976646</v>
      </c>
    </row>
    <row r="10" spans="1:9" x14ac:dyDescent="0.25">
      <c r="A10">
        <v>9</v>
      </c>
      <c r="B10">
        <v>110.60834584060053</v>
      </c>
    </row>
    <row r="11" spans="1:9" x14ac:dyDescent="0.25">
      <c r="A11">
        <v>10</v>
      </c>
      <c r="B11">
        <v>118.3174205696946</v>
      </c>
    </row>
    <row r="12" spans="1:9" x14ac:dyDescent="0.25">
      <c r="A12">
        <v>11</v>
      </c>
      <c r="B12">
        <v>191.74822153571299</v>
      </c>
    </row>
    <row r="13" spans="1:9" x14ac:dyDescent="0.25">
      <c r="A13">
        <v>12</v>
      </c>
      <c r="B13">
        <v>403.26354694109239</v>
      </c>
    </row>
    <row r="14" spans="1:9" x14ac:dyDescent="0.25">
      <c r="A14">
        <v>13</v>
      </c>
      <c r="B14">
        <v>604.18838396192461</v>
      </c>
    </row>
    <row r="15" spans="1:9" x14ac:dyDescent="0.25">
      <c r="A15">
        <v>14</v>
      </c>
      <c r="B15">
        <v>444.21853891347922</v>
      </c>
    </row>
    <row r="16" spans="1:9" x14ac:dyDescent="0.25">
      <c r="A16">
        <v>15</v>
      </c>
      <c r="B16">
        <v>389.40832384757323</v>
      </c>
    </row>
    <row r="17" spans="1:2" x14ac:dyDescent="0.25">
      <c r="A17">
        <v>16</v>
      </c>
      <c r="B17">
        <v>571.75238374328205</v>
      </c>
    </row>
    <row r="18" spans="1:2" x14ac:dyDescent="0.25">
      <c r="A18">
        <v>17</v>
      </c>
      <c r="B18">
        <v>1016.1482815409382</v>
      </c>
    </row>
    <row r="19" spans="1:2" x14ac:dyDescent="0.25">
      <c r="A19">
        <v>18</v>
      </c>
      <c r="B19">
        <v>1103.1129808023838</v>
      </c>
    </row>
    <row r="20" spans="1:2" x14ac:dyDescent="0.25">
      <c r="A20">
        <v>19</v>
      </c>
      <c r="B20">
        <v>1419.0403653449773</v>
      </c>
    </row>
    <row r="21" spans="1:2" x14ac:dyDescent="0.25">
      <c r="A21">
        <v>20</v>
      </c>
      <c r="B21">
        <v>1081.0461049849289</v>
      </c>
    </row>
    <row r="22" spans="1:2" x14ac:dyDescent="0.25">
      <c r="A22">
        <v>21</v>
      </c>
      <c r="B22">
        <v>1559.0173165468989</v>
      </c>
    </row>
    <row r="23" spans="1:2" x14ac:dyDescent="0.25">
      <c r="A23">
        <v>22</v>
      </c>
      <c r="B23">
        <v>2480.2346895360515</v>
      </c>
    </row>
    <row r="24" spans="1:2" x14ac:dyDescent="0.25">
      <c r="A24">
        <v>23</v>
      </c>
      <c r="B24">
        <v>2816.8991993738796</v>
      </c>
    </row>
    <row r="25" spans="1:2" x14ac:dyDescent="0.25">
      <c r="A25">
        <v>24</v>
      </c>
      <c r="B25">
        <v>1855.9164726795959</v>
      </c>
    </row>
    <row r="26" spans="1:2" x14ac:dyDescent="0.25">
      <c r="A26">
        <v>25</v>
      </c>
      <c r="B26">
        <v>1181.9402079732115</v>
      </c>
    </row>
    <row r="27" spans="1:2" x14ac:dyDescent="0.25">
      <c r="A27">
        <v>26</v>
      </c>
      <c r="B27">
        <v>1066.5293697168045</v>
      </c>
    </row>
    <row r="28" spans="1:2" x14ac:dyDescent="0.25">
      <c r="A28">
        <v>27</v>
      </c>
      <c r="B28">
        <v>1114.4897841217351</v>
      </c>
    </row>
    <row r="29" spans="1:2" x14ac:dyDescent="0.25">
      <c r="A29">
        <v>28</v>
      </c>
      <c r="B29">
        <v>1174.7947077967922</v>
      </c>
    </row>
    <row r="30" spans="1:2" x14ac:dyDescent="0.25">
      <c r="A30">
        <v>29</v>
      </c>
      <c r="B30">
        <v>861.16224378513846</v>
      </c>
    </row>
    <row r="31" spans="1:2" x14ac:dyDescent="0.25">
      <c r="A31">
        <v>30</v>
      </c>
      <c r="B31">
        <v>2065.749782004897</v>
      </c>
    </row>
    <row r="32" spans="1:2" x14ac:dyDescent="0.25">
      <c r="A32">
        <v>31</v>
      </c>
      <c r="B32">
        <v>1393.9509464672781</v>
      </c>
    </row>
    <row r="33" spans="1:2" x14ac:dyDescent="0.25">
      <c r="A33">
        <v>32</v>
      </c>
      <c r="B33">
        <v>1031.6531992195366</v>
      </c>
    </row>
    <row r="34" spans="1:2" x14ac:dyDescent="0.25">
      <c r="A34">
        <v>33</v>
      </c>
      <c r="B34">
        <v>591.51300646092977</v>
      </c>
    </row>
    <row r="35" spans="1:2" x14ac:dyDescent="0.25">
      <c r="A35">
        <v>34</v>
      </c>
      <c r="B35">
        <v>1184.4255538837153</v>
      </c>
    </row>
    <row r="36" spans="1:2" x14ac:dyDescent="0.25">
      <c r="A36">
        <v>35</v>
      </c>
      <c r="B36">
        <v>2067.0639667006376</v>
      </c>
    </row>
    <row r="37" spans="1:2" x14ac:dyDescent="0.25">
      <c r="A37">
        <v>36</v>
      </c>
      <c r="B37">
        <v>2021.6198957477054</v>
      </c>
    </row>
    <row r="38" spans="1:2" x14ac:dyDescent="0.25">
      <c r="A38">
        <v>37</v>
      </c>
      <c r="B38">
        <v>2419.4544484632038</v>
      </c>
    </row>
    <row r="39" spans="1:2" x14ac:dyDescent="0.25">
      <c r="A39">
        <v>38</v>
      </c>
      <c r="B39">
        <v>3007.3042721902784</v>
      </c>
    </row>
    <row r="40" spans="1:2" x14ac:dyDescent="0.25">
      <c r="A40">
        <v>39</v>
      </c>
      <c r="B40">
        <v>1800.950881534631</v>
      </c>
    </row>
    <row r="41" spans="1:2" x14ac:dyDescent="0.25">
      <c r="A41">
        <v>40</v>
      </c>
      <c r="B41">
        <v>2127.0509588199789</v>
      </c>
    </row>
    <row r="42" spans="1:2" x14ac:dyDescent="0.25">
      <c r="A42">
        <v>41</v>
      </c>
      <c r="B42">
        <v>2992.7704860021686</v>
      </c>
    </row>
    <row r="43" spans="1:2" x14ac:dyDescent="0.25">
      <c r="A43">
        <v>42</v>
      </c>
      <c r="B43">
        <v>2239.6154288023508</v>
      </c>
    </row>
    <row r="44" spans="1:2" x14ac:dyDescent="0.25">
      <c r="A44">
        <v>43</v>
      </c>
      <c r="B44">
        <v>2245.9467966472062</v>
      </c>
    </row>
    <row r="45" spans="1:2" x14ac:dyDescent="0.25">
      <c r="A45">
        <v>44</v>
      </c>
      <c r="B45">
        <v>2552.6971103374467</v>
      </c>
    </row>
    <row r="46" spans="1:2" x14ac:dyDescent="0.25">
      <c r="A46">
        <v>45</v>
      </c>
      <c r="B46">
        <v>2333.2614374718778</v>
      </c>
    </row>
    <row r="47" spans="1:2" x14ac:dyDescent="0.25">
      <c r="A47">
        <v>46</v>
      </c>
      <c r="B47">
        <v>2601.1515811368945</v>
      </c>
    </row>
    <row r="48" spans="1:2" x14ac:dyDescent="0.25">
      <c r="A48">
        <v>47</v>
      </c>
      <c r="B48">
        <v>2805.3382914525246</v>
      </c>
    </row>
    <row r="49" spans="1:2" x14ac:dyDescent="0.25">
      <c r="A49">
        <v>48</v>
      </c>
      <c r="B49">
        <v>2811.7211481165909</v>
      </c>
    </row>
    <row r="50" spans="1:2" x14ac:dyDescent="0.25">
      <c r="A50">
        <v>49</v>
      </c>
      <c r="B50">
        <v>3522.4260275725519</v>
      </c>
    </row>
    <row r="51" spans="1:2" x14ac:dyDescent="0.25">
      <c r="A51">
        <v>50</v>
      </c>
      <c r="B51">
        <v>2166.0742661768672</v>
      </c>
    </row>
    <row r="52" spans="1:2" x14ac:dyDescent="0.25">
      <c r="A52">
        <v>51</v>
      </c>
      <c r="B52">
        <v>2503.210766528327</v>
      </c>
    </row>
    <row r="53" spans="1:2" x14ac:dyDescent="0.25">
      <c r="A53">
        <v>52</v>
      </c>
      <c r="B53">
        <v>4148.411703358488</v>
      </c>
    </row>
    <row r="54" spans="1:2" x14ac:dyDescent="0.25">
      <c r="A54">
        <v>53</v>
      </c>
      <c r="B54">
        <v>6447.4626530299811</v>
      </c>
    </row>
    <row r="55" spans="1:2" x14ac:dyDescent="0.25">
      <c r="A55">
        <v>54</v>
      </c>
      <c r="B55">
        <v>7235.3344523135747</v>
      </c>
    </row>
    <row r="56" spans="1:2" x14ac:dyDescent="0.25">
      <c r="A56">
        <v>55</v>
      </c>
      <c r="B56">
        <v>11984.532643022485</v>
      </c>
    </row>
    <row r="57" spans="1:2" x14ac:dyDescent="0.25">
      <c r="A57">
        <v>56</v>
      </c>
      <c r="B57">
        <v>10628.914489916038</v>
      </c>
    </row>
    <row r="58" spans="1:2" x14ac:dyDescent="0.25">
      <c r="A58">
        <v>57</v>
      </c>
      <c r="B58">
        <v>11797.806111073536</v>
      </c>
    </row>
    <row r="59" spans="1:2" x14ac:dyDescent="0.25">
      <c r="A59">
        <v>58</v>
      </c>
      <c r="B59">
        <v>15294.936107080619</v>
      </c>
    </row>
    <row r="60" spans="1:2" x14ac:dyDescent="0.25">
      <c r="A60">
        <v>59</v>
      </c>
      <c r="B60">
        <v>23296.664204670404</v>
      </c>
    </row>
    <row r="61" spans="1:2" x14ac:dyDescent="0.25">
      <c r="A61">
        <v>60</v>
      </c>
      <c r="B61">
        <v>21977.984115898376</v>
      </c>
    </row>
    <row r="62" spans="1:2" x14ac:dyDescent="0.25">
      <c r="A62">
        <v>61</v>
      </c>
      <c r="B62">
        <v>45511.185560337544</v>
      </c>
    </row>
    <row r="63" spans="1:2" x14ac:dyDescent="0.25">
      <c r="A63">
        <v>62</v>
      </c>
      <c r="B63">
        <v>46927.609768845527</v>
      </c>
    </row>
    <row r="64" spans="1:2" x14ac:dyDescent="0.25">
      <c r="A64">
        <v>63</v>
      </c>
      <c r="B64">
        <v>39252.156184953295</v>
      </c>
    </row>
    <row r="65" spans="1:2" x14ac:dyDescent="0.25">
      <c r="A65">
        <v>64</v>
      </c>
      <c r="B65">
        <v>48885.854914166819</v>
      </c>
    </row>
    <row r="66" spans="1:2" x14ac:dyDescent="0.25">
      <c r="A66">
        <v>65</v>
      </c>
      <c r="B66">
        <v>29006.675025237524</v>
      </c>
    </row>
    <row r="67" spans="1:2" x14ac:dyDescent="0.25">
      <c r="A67">
        <v>66</v>
      </c>
      <c r="B67">
        <v>37580.829736892483</v>
      </c>
    </row>
    <row r="68" spans="1:2" x14ac:dyDescent="0.25">
      <c r="A68">
        <v>67</v>
      </c>
      <c r="B68">
        <v>49255.552426875904</v>
      </c>
    </row>
    <row r="69" spans="1:2" x14ac:dyDescent="0.25">
      <c r="A69">
        <v>68</v>
      </c>
      <c r="B69">
        <v>36951.533827317988</v>
      </c>
    </row>
    <row r="70" spans="1:2" x14ac:dyDescent="0.25">
      <c r="A70">
        <v>69</v>
      </c>
      <c r="B70">
        <v>50428.018161868669</v>
      </c>
    </row>
    <row r="71" spans="1:2" x14ac:dyDescent="0.25">
      <c r="A71">
        <v>70</v>
      </c>
      <c r="B71">
        <v>88551.48133213009</v>
      </c>
    </row>
    <row r="72" spans="1:2" x14ac:dyDescent="0.25">
      <c r="A72">
        <v>71</v>
      </c>
      <c r="B72">
        <v>103632.14647347054</v>
      </c>
    </row>
    <row r="73" spans="1:2" x14ac:dyDescent="0.25">
      <c r="A73">
        <v>72</v>
      </c>
      <c r="B73">
        <v>89773.859137062915</v>
      </c>
    </row>
    <row r="74" spans="1:2" x14ac:dyDescent="0.25">
      <c r="A74">
        <v>73</v>
      </c>
      <c r="B74">
        <v>60479.42059614521</v>
      </c>
    </row>
    <row r="75" spans="1:2" x14ac:dyDescent="0.25">
      <c r="A75">
        <v>74</v>
      </c>
      <c r="B75">
        <v>47583.338167213216</v>
      </c>
    </row>
    <row r="76" spans="1:2" x14ac:dyDescent="0.25">
      <c r="A76">
        <v>75</v>
      </c>
      <c r="B76">
        <v>76892.638643180311</v>
      </c>
    </row>
    <row r="77" spans="1:2" x14ac:dyDescent="0.25">
      <c r="A77">
        <v>76</v>
      </c>
      <c r="B77">
        <v>128853.8411523391</v>
      </c>
    </row>
    <row r="78" spans="1:2" x14ac:dyDescent="0.25">
      <c r="A78">
        <v>77</v>
      </c>
      <c r="B78">
        <v>82058.440099025203</v>
      </c>
    </row>
    <row r="79" spans="1:2" x14ac:dyDescent="0.25">
      <c r="A79">
        <v>78</v>
      </c>
      <c r="B79">
        <v>112760.14309430876</v>
      </c>
    </row>
    <row r="80" spans="1:2" x14ac:dyDescent="0.25">
      <c r="A80">
        <v>79</v>
      </c>
      <c r="B80">
        <v>227579.54052366913</v>
      </c>
    </row>
    <row r="81" spans="1:2" x14ac:dyDescent="0.25">
      <c r="A81">
        <v>80</v>
      </c>
      <c r="B81">
        <v>411124.86401270935</v>
      </c>
    </row>
    <row r="82" spans="1:2" x14ac:dyDescent="0.25">
      <c r="A82">
        <v>81</v>
      </c>
      <c r="B82">
        <v>540486.03193331917</v>
      </c>
    </row>
    <row r="83" spans="1:2" x14ac:dyDescent="0.25">
      <c r="A83">
        <v>82</v>
      </c>
      <c r="B83">
        <v>399123.68636036135</v>
      </c>
    </row>
    <row r="84" spans="1:2" x14ac:dyDescent="0.25">
      <c r="A84">
        <v>83</v>
      </c>
      <c r="B84">
        <v>564452.74934555439</v>
      </c>
    </row>
    <row r="85" spans="1:2" x14ac:dyDescent="0.25">
      <c r="A85">
        <v>84</v>
      </c>
      <c r="B85">
        <v>640508.5547926767</v>
      </c>
    </row>
    <row r="86" spans="1:2" x14ac:dyDescent="0.25">
      <c r="A86">
        <v>85</v>
      </c>
      <c r="B86">
        <v>492859.08982221555</v>
      </c>
    </row>
    <row r="87" spans="1:2" x14ac:dyDescent="0.25">
      <c r="A87">
        <v>86</v>
      </c>
      <c r="B87">
        <v>676140.77880635241</v>
      </c>
    </row>
    <row r="88" spans="1:2" x14ac:dyDescent="0.25">
      <c r="A88">
        <v>87</v>
      </c>
      <c r="B88">
        <v>640923.03815071285</v>
      </c>
    </row>
    <row r="89" spans="1:2" x14ac:dyDescent="0.25">
      <c r="A89">
        <v>88</v>
      </c>
      <c r="B89">
        <v>1084006.0299803338</v>
      </c>
    </row>
    <row r="90" spans="1:2" x14ac:dyDescent="0.25">
      <c r="A90">
        <v>89</v>
      </c>
      <c r="B90">
        <v>948969.7151514549</v>
      </c>
    </row>
    <row r="91" spans="1:2" x14ac:dyDescent="0.25">
      <c r="A91">
        <v>90</v>
      </c>
      <c r="B91">
        <v>1501153.016709436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Stonks</vt:lpstr>
      <vt:lpstr>sample paths</vt:lpstr>
      <vt:lpstr>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Imelda Barnes</dc:creator>
  <cp:lastModifiedBy>Imelda Barnes</cp:lastModifiedBy>
  <dcterms:created xsi:type="dcterms:W3CDTF">2021-01-27T20:46:32Z</dcterms:created>
  <dcterms:modified xsi:type="dcterms:W3CDTF">2021-05-26T14:55:33Z</dcterms:modified>
</cp:coreProperties>
</file>