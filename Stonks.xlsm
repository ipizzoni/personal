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elda.barnes\Documents\Personal\"/>
    </mc:Choice>
  </mc:AlternateContent>
  <xr:revisionPtr revIDLastSave="0" documentId="13_ncr:1_{EF1B1098-FC51-488A-A93E-CBC560E4A949}" xr6:coauthVersionLast="46" xr6:coauthVersionMax="46" xr10:uidLastSave="{00000000-0000-0000-0000-000000000000}"/>
  <bookViews>
    <workbookView xWindow="-110" yWindow="-110" windowWidth="19420" windowHeight="10560" xr2:uid="{449CA181-EECF-48D8-9BFC-A9AAF03C61C8}"/>
  </bookViews>
  <sheets>
    <sheet name="Stonks" sheetId="1" r:id="rId1"/>
    <sheet name="sample paths" sheetId="3" r:id="rId2"/>
    <sheet name="Cal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I4" i="2"/>
  <c r="H9" i="2" s="1"/>
  <c r="I3" i="2"/>
  <c r="H8" i="2" s="1"/>
  <c r="I8" i="2" s="1"/>
  <c r="I2" i="2"/>
  <c r="H7" i="2" s="1"/>
  <c r="I9" i="2" l="1"/>
  <c r="I7" i="2"/>
</calcChain>
</file>

<file path=xl/sharedStrings.xml><?xml version="1.0" encoding="utf-8"?>
<sst xmlns="http://schemas.openxmlformats.org/spreadsheetml/2006/main" count="126" uniqueCount="41">
  <si>
    <t>Profit:</t>
  </si>
  <si>
    <t>Price =</t>
  </si>
  <si>
    <t xml:space="preserve">Quantity held = </t>
  </si>
  <si>
    <t>Riskiness</t>
  </si>
  <si>
    <t>Mean</t>
  </si>
  <si>
    <t>Sd</t>
  </si>
  <si>
    <t>Buying on</t>
  </si>
  <si>
    <t>day 3</t>
  </si>
  <si>
    <t>day 4</t>
  </si>
  <si>
    <t>day 9</t>
  </si>
  <si>
    <t>Closing out quarter end</t>
  </si>
  <si>
    <t>day 23</t>
  </si>
  <si>
    <t>Selling on</t>
  </si>
  <si>
    <t>day 68</t>
  </si>
  <si>
    <t>day 88</t>
  </si>
  <si>
    <t>volatility</t>
  </si>
  <si>
    <t>expected return</t>
  </si>
  <si>
    <t>day 8</t>
  </si>
  <si>
    <t>day 11</t>
  </si>
  <si>
    <t>day 19</t>
  </si>
  <si>
    <t>day 48</t>
  </si>
  <si>
    <t>day 53</t>
  </si>
  <si>
    <t>day 79</t>
  </si>
  <si>
    <t>day 84</t>
  </si>
  <si>
    <t>day 85</t>
  </si>
  <si>
    <t>day 15</t>
  </si>
  <si>
    <t>day 26</t>
  </si>
  <si>
    <t>day 69</t>
  </si>
  <si>
    <t>day 72</t>
  </si>
  <si>
    <t>day 74</t>
  </si>
  <si>
    <t>day 7</t>
  </si>
  <si>
    <t>day 70</t>
  </si>
  <si>
    <t>day 24</t>
  </si>
  <si>
    <t>day 31</t>
  </si>
  <si>
    <t>day 20</t>
  </si>
  <si>
    <t>day 78</t>
  </si>
  <si>
    <t>day 90</t>
  </si>
  <si>
    <t>day 77</t>
  </si>
  <si>
    <t>Remaining stock sold = 1</t>
  </si>
  <si>
    <t>day 64</t>
  </si>
  <si>
    <t>day 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</si>
</sst>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Fill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Your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Calc!$B$1:$B$91</c:f>
              <c:numCache>
                <c:formatCode>General</c:formatCode>
                <c:ptCount val="91"/>
                <c:pt idx="0">
                  <c:v>100</c:v>
                </c:pt>
                <c:pt idx="1">
                  <c:v>96.783968414277794</c:v>
                </c:pt>
                <c:pt idx="2">
                  <c:v>118.9808747951554</c:v>
                </c:pt>
                <c:pt idx="3">
                  <c:v>128.35456323720544</c:v>
                </c:pt>
                <c:pt idx="4">
                  <c:v>134.07895551738537</c:v>
                </c:pt>
                <c:pt idx="5">
                  <c:v>100.87811762423759</c:v>
                </c:pt>
                <c:pt idx="6">
                  <c:v>126.91809960410561</c:v>
                </c:pt>
                <c:pt idx="7">
                  <c:v>107.63337303346709</c:v>
                </c:pt>
                <c:pt idx="8">
                  <c:v>116.93403827602243</c:v>
                </c:pt>
                <c:pt idx="9">
                  <c:v>116.37204236803898</c:v>
                </c:pt>
                <c:pt idx="10">
                  <c:v>118.57780973543396</c:v>
                </c:pt>
                <c:pt idx="11">
                  <c:v>98.767472850699747</c:v>
                </c:pt>
                <c:pt idx="12">
                  <c:v>109.60320807569357</c:v>
                </c:pt>
                <c:pt idx="13">
                  <c:v>86.64582707849523</c:v>
                </c:pt>
                <c:pt idx="14">
                  <c:v>78.32099864757555</c:v>
                </c:pt>
                <c:pt idx="15">
                  <c:v>61.4342931954452</c:v>
                </c:pt>
                <c:pt idx="16">
                  <c:v>48.607269592284823</c:v>
                </c:pt>
                <c:pt idx="17">
                  <c:v>45.010669401121696</c:v>
                </c:pt>
                <c:pt idx="18">
                  <c:v>43.144556687104824</c:v>
                </c:pt>
                <c:pt idx="19">
                  <c:v>40.720485891087712</c:v>
                </c:pt>
                <c:pt idx="20">
                  <c:v>28.129479226577928</c:v>
                </c:pt>
                <c:pt idx="21">
                  <c:v>21.202743146212562</c:v>
                </c:pt>
                <c:pt idx="22">
                  <c:v>26.903700079268273</c:v>
                </c:pt>
                <c:pt idx="23">
                  <c:v>30.326681260217782</c:v>
                </c:pt>
                <c:pt idx="24">
                  <c:v>31.087461459032074</c:v>
                </c:pt>
                <c:pt idx="25">
                  <c:v>33.305013696990208</c:v>
                </c:pt>
                <c:pt idx="26">
                  <c:v>39.422657993414575</c:v>
                </c:pt>
                <c:pt idx="27">
                  <c:v>57.968345894008742</c:v>
                </c:pt>
                <c:pt idx="28">
                  <c:v>93.385505269084462</c:v>
                </c:pt>
                <c:pt idx="29">
                  <c:v>86.620714849689122</c:v>
                </c:pt>
                <c:pt idx="30">
                  <c:v>107.51925842771381</c:v>
                </c:pt>
                <c:pt idx="31">
                  <c:v>134.88902836656473</c:v>
                </c:pt>
                <c:pt idx="32">
                  <c:v>123.95061161493368</c:v>
                </c:pt>
                <c:pt idx="33">
                  <c:v>102.64998706300403</c:v>
                </c:pt>
                <c:pt idx="34">
                  <c:v>73.908029045977329</c:v>
                </c:pt>
                <c:pt idx="35">
                  <c:v>76.160908585702202</c:v>
                </c:pt>
                <c:pt idx="36">
                  <c:v>98.667364577632711</c:v>
                </c:pt>
                <c:pt idx="37">
                  <c:v>116.1180871500419</c:v>
                </c:pt>
                <c:pt idx="38">
                  <c:v>114.05500241149598</c:v>
                </c:pt>
                <c:pt idx="39">
                  <c:v>68.055643017081721</c:v>
                </c:pt>
                <c:pt idx="40">
                  <c:v>66.928452583582839</c:v>
                </c:pt>
                <c:pt idx="41">
                  <c:v>69.61083177710772</c:v>
                </c:pt>
                <c:pt idx="42">
                  <c:v>61.367447141383494</c:v>
                </c:pt>
                <c:pt idx="43">
                  <c:v>61.365904616691552</c:v>
                </c:pt>
                <c:pt idx="44">
                  <c:v>48.026160134732407</c:v>
                </c:pt>
                <c:pt idx="45">
                  <c:v>51.934448474374499</c:v>
                </c:pt>
                <c:pt idx="46">
                  <c:v>47.732532288416557</c:v>
                </c:pt>
                <c:pt idx="47">
                  <c:v>58.428414326910016</c:v>
                </c:pt>
                <c:pt idx="48">
                  <c:v>39.130423354338369</c:v>
                </c:pt>
                <c:pt idx="49">
                  <c:v>37.968101336852058</c:v>
                </c:pt>
                <c:pt idx="50">
                  <c:v>49.782763373108324</c:v>
                </c:pt>
                <c:pt idx="51">
                  <c:v>39.345495263914856</c:v>
                </c:pt>
                <c:pt idx="52">
                  <c:v>38.261462044451825</c:v>
                </c:pt>
                <c:pt idx="53">
                  <c:v>46.012500613032429</c:v>
                </c:pt>
                <c:pt idx="54">
                  <c:v>59.722079936543153</c:v>
                </c:pt>
                <c:pt idx="55">
                  <c:v>74.184705405401871</c:v>
                </c:pt>
                <c:pt idx="56">
                  <c:v>63.860826893263031</c:v>
                </c:pt>
                <c:pt idx="57">
                  <c:v>77.32715910031105</c:v>
                </c:pt>
                <c:pt idx="58">
                  <c:v>75.80797393518327</c:v>
                </c:pt>
                <c:pt idx="59">
                  <c:v>89.43620145012801</c:v>
                </c:pt>
                <c:pt idx="60">
                  <c:v>77.91547022244346</c:v>
                </c:pt>
                <c:pt idx="61">
                  <c:v>91.929459910323516</c:v>
                </c:pt>
                <c:pt idx="62">
                  <c:v>95.513475076732988</c:v>
                </c:pt>
                <c:pt idx="63">
                  <c:v>92.19403075116918</c:v>
                </c:pt>
                <c:pt idx="64">
                  <c:v>96.347460636059026</c:v>
                </c:pt>
                <c:pt idx="65">
                  <c:v>115.38288145209553</c:v>
                </c:pt>
                <c:pt idx="66">
                  <c:v>108.12119516832323</c:v>
                </c:pt>
                <c:pt idx="67">
                  <c:v>167.16173777983198</c:v>
                </c:pt>
                <c:pt idx="68">
                  <c:v>164.07866995142649</c:v>
                </c:pt>
                <c:pt idx="69">
                  <c:v>223.05050450441706</c:v>
                </c:pt>
                <c:pt idx="70">
                  <c:v>280.53479613231514</c:v>
                </c:pt>
                <c:pt idx="71">
                  <c:v>236.01710536539937</c:v>
                </c:pt>
                <c:pt idx="72">
                  <c:v>225.80571493488665</c:v>
                </c:pt>
                <c:pt idx="73">
                  <c:v>260.16704239962058</c:v>
                </c:pt>
                <c:pt idx="74">
                  <c:v>293.70986317360666</c:v>
                </c:pt>
                <c:pt idx="75">
                  <c:v>282.19163401570529</c:v>
                </c:pt>
                <c:pt idx="76">
                  <c:v>302.19314202869458</c:v>
                </c:pt>
                <c:pt idx="77">
                  <c:v>220.49481588362971</c:v>
                </c:pt>
                <c:pt idx="78">
                  <c:v>292.55114473891979</c:v>
                </c:pt>
                <c:pt idx="79">
                  <c:v>260.03806336916671</c:v>
                </c:pt>
                <c:pt idx="80">
                  <c:v>320.96376193861721</c:v>
                </c:pt>
                <c:pt idx="81">
                  <c:v>401.18508568428922</c:v>
                </c:pt>
                <c:pt idx="82">
                  <c:v>367.50618546765088</c:v>
                </c:pt>
                <c:pt idx="83">
                  <c:v>375.46892865673084</c:v>
                </c:pt>
                <c:pt idx="84">
                  <c:v>447.55734729813878</c:v>
                </c:pt>
                <c:pt idx="85">
                  <c:v>622.63758182324398</c:v>
                </c:pt>
                <c:pt idx="86">
                  <c:v>698.14257516638395</c:v>
                </c:pt>
                <c:pt idx="87">
                  <c:v>651.54944774690875</c:v>
                </c:pt>
                <c:pt idx="88">
                  <c:v>744.37489576739665</c:v>
                </c:pt>
                <c:pt idx="89">
                  <c:v>659.67807702260734</c:v>
                </c:pt>
                <c:pt idx="90">
                  <c:v>455.76889129914031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B-4848-9464-3DF07AD37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933871"/>
        <c:axId val="1556934703"/>
      </c:lineChart>
      <c:catAx>
        <c:axId val="1556933871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4703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1556934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577850</xdr:colOff>
      <xdr:row>1</xdr:row>
      <xdr:rowOff>12700</xdr:rowOff>
    </xdr:from>
    <xdr:to>
      <xdr:col>8</xdr:col>
      <xdr:colOff>273050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152400</xdr:rowOff>
        </xdr:from>
        <xdr:to>
          <xdr:col>12</xdr:col>
          <xdr:colOff>6350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Reset/Start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603250</xdr:colOff>
          <xdr:row>5</xdr:row>
          <xdr:rowOff>158750</xdr:rowOff>
        </xdr:from>
        <xdr:to>
          <xdr:col>11</xdr:col>
          <xdr:colOff>787400</xdr:colOff>
          <xdr:row>9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6</xdr:row>
          <xdr:rowOff>0</xdr:rowOff>
        </xdr:from>
        <xdr:to>
          <xdr:col>14</xdr:col>
          <xdr:colOff>6350</xdr:colOff>
          <xdr:row>9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20</xdr:row>
          <xdr:rowOff>158750</xdr:rowOff>
        </xdr:from>
        <xdr:to>
          <xdr:col>5</xdr:col>
          <xdr:colOff>6350</xdr:colOff>
          <xdr:row>22</xdr:row>
          <xdr:rowOff>69850</xdr:rowOff>
        </xdr:to>
        <xdr:sp macro="" textlink="">
          <xdr:nvSpPr>
            <xdr:cNvPr id="2052" name="ScrollBar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69850</xdr:colOff>
      <xdr:row>0</xdr:row>
      <xdr:rowOff>63500</xdr:rowOff>
    </xdr:from>
    <xdr:to>
      <xdr:col>7</xdr:col>
      <xdr:colOff>411625</xdr:colOff>
      <xdr:row>17</xdr:row>
      <xdr:rowOff>89898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9850" y="63500"/>
          <a:ext cx="4608975" cy="272514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451758</xdr:colOff>
      <xdr:row>0</xdr:row>
      <xdr:rowOff>66222</xdr:rowOff>
    </xdr:from>
    <xdr:to>
      <xdr:col>15</xdr:col>
      <xdr:colOff>183933</xdr:colOff>
      <xdr:row>17</xdr:row>
      <xdr:rowOff>92620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06258" y="66222"/>
          <a:ext cx="4594461" cy="280225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0</xdr:col>
      <xdr:colOff>72571</xdr:colOff>
      <xdr:row>17</xdr:row>
      <xdr:rowOff>154214</xdr:rowOff>
    </xdr:from>
    <xdr:to>
      <xdr:col>7</xdr:col>
      <xdr:colOff>427046</xdr:colOff>
      <xdr:row>34</xdr:row>
      <xdr:rowOff>103505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72571" y="2930071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7</xdr:col>
      <xdr:colOff>462643</xdr:colOff>
      <xdr:row>18</xdr:row>
      <xdr:rowOff>9071</xdr:rowOff>
    </xdr:from>
    <xdr:to>
      <xdr:col>15</xdr:col>
      <xdr:colOff>209332</xdr:colOff>
      <xdr:row>34</xdr:row>
      <xdr:rowOff>121648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17143" y="2948214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0</xdr:col>
      <xdr:colOff>90715</xdr:colOff>
      <xdr:row>34</xdr:row>
      <xdr:rowOff>136072</xdr:rowOff>
    </xdr:from>
    <xdr:to>
      <xdr:col>7</xdr:col>
      <xdr:colOff>445190</xdr:colOff>
      <xdr:row>51</xdr:row>
      <xdr:rowOff>85363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0715" y="568778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272144</xdr:colOff>
      <xdr:row>34</xdr:row>
      <xdr:rowOff>145142</xdr:rowOff>
    </xdr:from>
    <xdr:to>
      <xdr:col>23</xdr:col>
      <xdr:colOff>18834</xdr:colOff>
      <xdr:row>51</xdr:row>
      <xdr:rowOff>94433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388930" y="569685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254000</xdr:colOff>
      <xdr:row>17</xdr:row>
      <xdr:rowOff>163285</xdr:rowOff>
    </xdr:from>
    <xdr:to>
      <xdr:col>23</xdr:col>
      <xdr:colOff>690</xdr:colOff>
      <xdr:row>34</xdr:row>
      <xdr:rowOff>112576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6" y="2939142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253998</xdr:colOff>
      <xdr:row>0</xdr:row>
      <xdr:rowOff>72571</xdr:rowOff>
    </xdr:from>
    <xdr:to>
      <xdr:col>23</xdr:col>
      <xdr:colOff>688</xdr:colOff>
      <xdr:row>17</xdr:row>
      <xdr:rowOff>90714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4" y="72571"/>
          <a:ext cx="4608975" cy="2794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489856</xdr:colOff>
      <xdr:row>34</xdr:row>
      <xdr:rowOff>145143</xdr:rowOff>
    </xdr:from>
    <xdr:to>
      <xdr:col>15</xdr:col>
      <xdr:colOff>236545</xdr:colOff>
      <xdr:row>51</xdr:row>
      <xdr:rowOff>94434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4744356" y="5696857"/>
          <a:ext cx="4608975" cy="2725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02E14-F41D-414C-BD15-E55047F12FFE}">
  <sheetPr codeName="Sheet1"/>
  <dimension ref="C2:P41"/>
  <sheetViews>
    <sheetView tabSelected="1" zoomScale="85" zoomScaleNormal="85" workbookViewId="0">
      <selection activeCell="F27" sqref="F27"/>
    </sheetView>
  </sheetViews>
  <sheetFormatPr defaultRowHeight="12.5" x14ac:dyDescent="0.25"/>
  <cols>
    <col min="11" max="12" width="11.36328125" customWidth="1"/>
    <col min="13" max="13" width="11.36328125" style="3" customWidth="1"/>
    <col min="14" max="14" width="11.36328125" style="2" customWidth="1"/>
    <col min="15" max="16" width="11.36328125" customWidth="1"/>
  </cols>
  <sheetData>
    <row r="2" spans="11:16" x14ac:dyDescent="0.25">
      <c r="N2" s="2" t="s">
        <v>0</v>
      </c>
      <c r="O2" s="1">
        <v>3996.2391375071688</v>
      </c>
    </row>
    <row r="11" spans="11:16" x14ac:dyDescent="0.25">
      <c r="K11" t="s">
        <v>6</v>
      </c>
      <c r="L11" t="s">
        <v>7</v>
      </c>
      <c r="M11" s="3" t="s">
        <v>1</v>
      </c>
      <c r="N11" s="2">
        <v>118.9808747951554</v>
      </c>
      <c r="O11" t="s">
        <v>2</v>
      </c>
      <c r="P11">
        <v>1</v>
      </c>
    </row>
    <row r="12" spans="11:16" x14ac:dyDescent="0.25">
      <c r="K12" t="s">
        <v>6</v>
      </c>
      <c r="L12" t="s">
        <v>8</v>
      </c>
      <c r="M12" s="3" t="s">
        <v>1</v>
      </c>
      <c r="N12" s="2">
        <v>128.35456323720544</v>
      </c>
      <c r="O12" t="s">
        <v>2</v>
      </c>
      <c r="P12">
        <v>2</v>
      </c>
    </row>
    <row r="13" spans="11:16" x14ac:dyDescent="0.25">
      <c r="K13" t="s">
        <v>6</v>
      </c>
      <c r="L13" t="s">
        <v>30</v>
      </c>
      <c r="M13" s="3" t="s">
        <v>1</v>
      </c>
      <c r="N13" s="2">
        <v>126.91809960410561</v>
      </c>
      <c r="O13" t="s">
        <v>2</v>
      </c>
      <c r="P13">
        <v>3</v>
      </c>
    </row>
    <row r="14" spans="11:16" x14ac:dyDescent="0.25">
      <c r="K14" t="s">
        <v>6</v>
      </c>
      <c r="L14" t="s">
        <v>17</v>
      </c>
      <c r="M14" s="3" t="s">
        <v>1</v>
      </c>
      <c r="N14" s="2">
        <v>107.63337303346709</v>
      </c>
      <c r="O14" t="s">
        <v>2</v>
      </c>
      <c r="P14">
        <v>4</v>
      </c>
    </row>
    <row r="15" spans="11:16" x14ac:dyDescent="0.25">
      <c r="K15" t="s">
        <v>6</v>
      </c>
      <c r="L15" t="s">
        <v>9</v>
      </c>
      <c r="M15" s="3" t="s">
        <v>1</v>
      </c>
      <c r="N15" s="2">
        <v>116.93403827602243</v>
      </c>
      <c r="O15" t="s">
        <v>2</v>
      </c>
      <c r="P15">
        <v>5</v>
      </c>
    </row>
    <row r="16" spans="11:16" x14ac:dyDescent="0.25">
      <c r="K16" t="s">
        <v>6</v>
      </c>
      <c r="L16" t="s">
        <v>18</v>
      </c>
      <c r="M16" s="3" t="s">
        <v>1</v>
      </c>
      <c r="N16" s="2">
        <v>118.57780973543396</v>
      </c>
      <c r="O16" t="s">
        <v>2</v>
      </c>
      <c r="P16">
        <v>6</v>
      </c>
    </row>
    <row r="17" spans="3:16" x14ac:dyDescent="0.25">
      <c r="K17" t="s">
        <v>6</v>
      </c>
      <c r="L17" t="s">
        <v>25</v>
      </c>
      <c r="M17" s="3" t="s">
        <v>1</v>
      </c>
      <c r="N17" s="2">
        <v>78.32099864757555</v>
      </c>
      <c r="O17" t="s">
        <v>2</v>
      </c>
      <c r="P17">
        <v>7</v>
      </c>
    </row>
    <row r="18" spans="3:16" x14ac:dyDescent="0.25">
      <c r="K18" t="s">
        <v>6</v>
      </c>
      <c r="L18" t="s">
        <v>19</v>
      </c>
      <c r="M18" s="3" t="s">
        <v>1</v>
      </c>
      <c r="N18" s="2">
        <v>43.144556687104824</v>
      </c>
      <c r="O18" t="s">
        <v>2</v>
      </c>
      <c r="P18">
        <v>8</v>
      </c>
    </row>
    <row r="19" spans="3:16" x14ac:dyDescent="0.25">
      <c r="K19" t="s">
        <v>6</v>
      </c>
      <c r="L19" t="s">
        <v>34</v>
      </c>
      <c r="M19" s="3" t="s">
        <v>1</v>
      </c>
      <c r="N19" s="2">
        <v>40.720485891087712</v>
      </c>
      <c r="O19" t="s">
        <v>2</v>
      </c>
      <c r="P19">
        <v>9</v>
      </c>
    </row>
    <row r="20" spans="3:16" x14ac:dyDescent="0.25">
      <c r="K20" t="s">
        <v>6</v>
      </c>
      <c r="L20" t="s">
        <v>11</v>
      </c>
      <c r="M20" s="3" t="s">
        <v>1</v>
      </c>
      <c r="N20" s="2">
        <v>26.903700079268273</v>
      </c>
      <c r="O20" t="s">
        <v>2</v>
      </c>
      <c r="P20">
        <v>10</v>
      </c>
    </row>
    <row r="21" spans="3:16" x14ac:dyDescent="0.25">
      <c r="C21" s="4"/>
      <c r="D21" s="5" t="s">
        <v>3</v>
      </c>
      <c r="E21" s="4"/>
      <c r="K21" t="s">
        <v>6</v>
      </c>
      <c r="L21" t="s">
        <v>32</v>
      </c>
      <c r="M21" s="3" t="s">
        <v>1</v>
      </c>
      <c r="N21" s="2">
        <v>30.326681260217782</v>
      </c>
      <c r="O21" t="s">
        <v>2</v>
      </c>
      <c r="P21">
        <v>11</v>
      </c>
    </row>
    <row r="22" spans="3:16" x14ac:dyDescent="0.25">
      <c r="C22" s="4"/>
      <c r="D22" s="4"/>
      <c r="E22" s="4"/>
      <c r="G22" s="7" t="str">
        <f>"Expected " &amp; TEXT(VLOOKUP(Calc!$F$1,Calc!$G$7:$I$9,2,FALSE)-1, "#0%") &amp; " return per day"</f>
        <v>Expected 5% return per day</v>
      </c>
      <c r="K22" t="s">
        <v>6</v>
      </c>
      <c r="L22" t="s">
        <v>26</v>
      </c>
      <c r="M22" s="3" t="s">
        <v>1</v>
      </c>
      <c r="N22" s="2">
        <v>33.305013696990208</v>
      </c>
      <c r="O22" t="s">
        <v>2</v>
      </c>
      <c r="P22">
        <v>12</v>
      </c>
    </row>
    <row r="23" spans="3:16" x14ac:dyDescent="0.25">
      <c r="C23" s="4"/>
      <c r="D23" s="4"/>
      <c r="E23" s="4"/>
      <c r="G23" s="7" t="str">
        <f>"at " &amp; TEXT(VLOOKUP(Calc!$F$1,Calc!$G$7:$I$9,3,FALSE), "#0.0%") &amp; " volatility"</f>
        <v>at 42.4% volatility</v>
      </c>
      <c r="K23" t="s">
        <v>6</v>
      </c>
      <c r="L23" t="s">
        <v>33</v>
      </c>
      <c r="M23" s="3" t="s">
        <v>1</v>
      </c>
      <c r="N23" s="2">
        <v>107.51925842771381</v>
      </c>
      <c r="O23" t="s">
        <v>2</v>
      </c>
      <c r="P23">
        <v>13</v>
      </c>
    </row>
    <row r="24" spans="3:16" x14ac:dyDescent="0.25">
      <c r="C24" s="4"/>
      <c r="D24" s="4"/>
      <c r="E24" s="4"/>
      <c r="K24" t="s">
        <v>6</v>
      </c>
      <c r="L24" t="s">
        <v>20</v>
      </c>
      <c r="M24" s="3" t="s">
        <v>1</v>
      </c>
      <c r="N24" s="2">
        <v>58.428414326910016</v>
      </c>
      <c r="O24" t="s">
        <v>2</v>
      </c>
      <c r="P24">
        <v>14</v>
      </c>
    </row>
    <row r="25" spans="3:16" x14ac:dyDescent="0.25">
      <c r="C25" s="6"/>
      <c r="D25" s="6"/>
      <c r="E25" s="6"/>
      <c r="K25" t="s">
        <v>6</v>
      </c>
      <c r="L25" t="s">
        <v>21</v>
      </c>
      <c r="M25" s="3" t="s">
        <v>1</v>
      </c>
      <c r="N25" s="2">
        <v>38.261462044451825</v>
      </c>
      <c r="O25" t="s">
        <v>2</v>
      </c>
      <c r="P25">
        <v>15</v>
      </c>
    </row>
    <row r="26" spans="3:16" x14ac:dyDescent="0.25">
      <c r="K26" t="s">
        <v>12</v>
      </c>
      <c r="L26" t="s">
        <v>39</v>
      </c>
      <c r="M26" s="3" t="s">
        <v>1</v>
      </c>
      <c r="N26" s="2">
        <v>92.19403075116918</v>
      </c>
      <c r="O26" t="s">
        <v>2</v>
      </c>
      <c r="P26">
        <v>14</v>
      </c>
    </row>
    <row r="27" spans="3:16" x14ac:dyDescent="0.25">
      <c r="K27" t="s">
        <v>12</v>
      </c>
      <c r="L27" t="s">
        <v>13</v>
      </c>
      <c r="M27" s="3" t="s">
        <v>1</v>
      </c>
      <c r="N27" s="2">
        <v>167.16173777983198</v>
      </c>
      <c r="O27" t="s">
        <v>2</v>
      </c>
      <c r="P27">
        <v>13</v>
      </c>
    </row>
    <row r="28" spans="3:16" x14ac:dyDescent="0.25">
      <c r="K28" t="s">
        <v>12</v>
      </c>
      <c r="L28" t="s">
        <v>27</v>
      </c>
      <c r="M28" s="3" t="s">
        <v>1</v>
      </c>
      <c r="N28" s="2">
        <v>164.07866995142649</v>
      </c>
      <c r="O28" t="s">
        <v>2</v>
      </c>
      <c r="P28">
        <v>12</v>
      </c>
    </row>
    <row r="29" spans="3:16" x14ac:dyDescent="0.25">
      <c r="K29" t="s">
        <v>12</v>
      </c>
      <c r="L29" t="s">
        <v>31</v>
      </c>
      <c r="M29" s="3" t="s">
        <v>1</v>
      </c>
      <c r="N29" s="2">
        <v>223.05050450441706</v>
      </c>
      <c r="O29" t="s">
        <v>2</v>
      </c>
      <c r="P29">
        <v>11</v>
      </c>
    </row>
    <row r="30" spans="3:16" x14ac:dyDescent="0.25">
      <c r="K30" t="s">
        <v>12</v>
      </c>
      <c r="L30" t="s">
        <v>28</v>
      </c>
      <c r="M30" s="3" t="s">
        <v>1</v>
      </c>
      <c r="N30" s="2">
        <v>236.01710536539937</v>
      </c>
      <c r="O30" t="s">
        <v>2</v>
      </c>
      <c r="P30">
        <v>10</v>
      </c>
    </row>
    <row r="31" spans="3:16" x14ac:dyDescent="0.25">
      <c r="K31" t="s">
        <v>12</v>
      </c>
      <c r="L31" t="s">
        <v>29</v>
      </c>
      <c r="M31" s="3" t="s">
        <v>1</v>
      </c>
      <c r="N31" s="2">
        <v>260.16704239962058</v>
      </c>
      <c r="O31" t="s">
        <v>2</v>
      </c>
      <c r="P31">
        <v>9</v>
      </c>
    </row>
    <row r="32" spans="3:16" x14ac:dyDescent="0.25">
      <c r="K32" t="s">
        <v>12</v>
      </c>
      <c r="L32" t="s">
        <v>37</v>
      </c>
      <c r="M32" s="3" t="s">
        <v>1</v>
      </c>
      <c r="N32" s="2">
        <v>302.19314202869458</v>
      </c>
      <c r="O32" t="s">
        <v>2</v>
      </c>
      <c r="P32">
        <v>8</v>
      </c>
    </row>
    <row r="33" spans="11:16" x14ac:dyDescent="0.25">
      <c r="K33" t="s">
        <v>12</v>
      </c>
      <c r="L33" t="s">
        <v>35</v>
      </c>
      <c r="M33" s="3" t="s">
        <v>1</v>
      </c>
      <c r="N33" s="2">
        <v>220.49481588362971</v>
      </c>
      <c r="O33" t="s">
        <v>2</v>
      </c>
      <c r="P33">
        <v>7</v>
      </c>
    </row>
    <row r="34" spans="11:16" x14ac:dyDescent="0.25">
      <c r="K34" t="s">
        <v>12</v>
      </c>
      <c r="L34" t="s">
        <v>22</v>
      </c>
      <c r="M34" s="3" t="s">
        <v>1</v>
      </c>
      <c r="N34" s="2">
        <v>292.55114473891979</v>
      </c>
      <c r="O34" t="s">
        <v>2</v>
      </c>
      <c r="P34">
        <v>6</v>
      </c>
    </row>
    <row r="35" spans="11:16" x14ac:dyDescent="0.25">
      <c r="K35" t="s">
        <v>12</v>
      </c>
      <c r="L35" t="s">
        <v>23</v>
      </c>
      <c r="M35" s="3" t="s">
        <v>1</v>
      </c>
      <c r="N35" s="2">
        <v>375.46892865673084</v>
      </c>
      <c r="O35" t="s">
        <v>2</v>
      </c>
      <c r="P35">
        <v>5</v>
      </c>
    </row>
    <row r="36" spans="11:16" x14ac:dyDescent="0.25">
      <c r="K36" t="s">
        <v>12</v>
      </c>
      <c r="L36" t="s">
        <v>24</v>
      </c>
      <c r="M36" s="3" t="s">
        <v>1</v>
      </c>
      <c r="N36" s="2">
        <v>447.55734729813878</v>
      </c>
      <c r="O36" t="s">
        <v>2</v>
      </c>
      <c r="P36">
        <v>4</v>
      </c>
    </row>
    <row r="37" spans="11:16" x14ac:dyDescent="0.25">
      <c r="K37" t="s">
        <v>12</v>
      </c>
      <c r="L37" t="s">
        <v>40</v>
      </c>
      <c r="M37" s="3" t="s">
        <v>1</v>
      </c>
      <c r="N37" s="2">
        <v>622.63758182324398</v>
      </c>
      <c r="O37" t="s">
        <v>2</v>
      </c>
      <c r="P37">
        <v>3</v>
      </c>
    </row>
    <row r="38" spans="11:16" x14ac:dyDescent="0.25">
      <c r="K38" t="s">
        <v>12</v>
      </c>
      <c r="L38" t="s">
        <v>14</v>
      </c>
      <c r="M38" s="3" t="s">
        <v>1</v>
      </c>
      <c r="N38" s="2">
        <v>651.54944774690875</v>
      </c>
      <c r="O38" t="s">
        <v>2</v>
      </c>
      <c r="P38">
        <v>2</v>
      </c>
    </row>
    <row r="39" spans="11:16" x14ac:dyDescent="0.25">
      <c r="K39" t="s">
        <v>12</v>
      </c>
      <c r="L39" t="s">
        <v>36</v>
      </c>
      <c r="M39" s="3" t="s">
        <v>1</v>
      </c>
      <c r="N39" s="2">
        <v>659.67807702260734</v>
      </c>
      <c r="O39" t="s">
        <v>2</v>
      </c>
      <c r="P39">
        <v>1</v>
      </c>
    </row>
    <row r="41" spans="11:16" x14ac:dyDescent="0.25">
      <c r="K41" t="s">
        <v>10</v>
      </c>
      <c r="M41" s="3" t="s">
        <v>1</v>
      </c>
      <c r="N41" s="2">
        <v>455.76889129914031</v>
      </c>
      <c r="O41" t="s">
        <v>38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ScrollBar1">
          <controlPr defaultSize="0" autoLine="0" autoPict="0" linkedCell="Calc!F1" r:id="rId5">
            <anchor moveWithCells="1">
              <from>
                <xdr:col>3</xdr:col>
                <xdr:colOff>6350</xdr:colOff>
                <xdr:row>20</xdr:row>
                <xdr:rowOff>158750</xdr:rowOff>
              </from>
              <to>
                <xdr:col>5</xdr:col>
                <xdr:colOff>6350</xdr:colOff>
                <xdr:row>22</xdr:row>
                <xdr:rowOff>69850</xdr:rowOff>
              </to>
            </anchor>
          </controlPr>
        </control>
      </mc:Choice>
      <mc:Fallback>
        <control shapeId="2052" r:id="rId4" name="ScrollBar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Start">
            <anchor moveWithCells="1" sizeWithCells="1">
              <from>
                <xdr:col>10</xdr:col>
                <xdr:colOff>0</xdr:colOff>
                <xdr:row>0</xdr:row>
                <xdr:rowOff>152400</xdr:rowOff>
              </from>
              <to>
                <xdr:col>12</xdr:col>
                <xdr:colOff>6350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buy">
            <anchor moveWithCells="1" sizeWithCells="1">
              <from>
                <xdr:col>9</xdr:col>
                <xdr:colOff>603250</xdr:colOff>
                <xdr:row>5</xdr:row>
                <xdr:rowOff>158750</xdr:rowOff>
              </from>
              <to>
                <xdr:col>11</xdr:col>
                <xdr:colOff>787400</xdr:colOff>
                <xdr:row>9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sell">
            <anchor moveWithCells="1" sizeWithCells="1">
              <from>
                <xdr:col>12</xdr:col>
                <xdr:colOff>6350</xdr:colOff>
                <xdr:row>6</xdr:row>
                <xdr:rowOff>0</xdr:rowOff>
              </from>
              <to>
                <xdr:col>14</xdr:col>
                <xdr:colOff>6350</xdr:colOff>
                <xdr:row>9</xdr:row>
                <xdr:rowOff>6350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814E-B8BF-494D-A2F4-2B0274B1F80A}">
  <sheetPr codeName="Sheet3"/>
  <dimension ref="A1"/>
  <sheetViews>
    <sheetView topLeftCell="A21" zoomScale="70" zoomScaleNormal="70" workbookViewId="0">
      <selection activeCell="M54" sqref="M54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A0A1C-6399-48B3-8D88-0DB2D4069A5D}">
  <sheetPr codeName="Sheet2"/>
  <dimension ref="A1:I91"/>
  <sheetViews>
    <sheetView zoomScale="85" zoomScaleNormal="85" workbookViewId="0">
      <selection activeCell="F19" sqref="F19"/>
    </sheetView>
  </sheetViews>
  <sheetFormatPr defaultRowHeight="12.5" x14ac:dyDescent="0.25"/>
  <cols>
    <col min="8" max="8" width="13.36328125" bestFit="1" customWidth="1"/>
    <col min="9" max="9" width="11.81640625" bestFit="1" customWidth="1"/>
  </cols>
  <sheetData>
    <row r="1" spans="1:9" x14ac:dyDescent="0.25">
      <c r="A1">
        <v>0</v>
      </c>
      <c r="B1">
        <v>100</v>
      </c>
      <c r="F1">
        <v>2</v>
      </c>
      <c r="G1" t="s">
        <v>3</v>
      </c>
      <c r="H1" t="s">
        <v>4</v>
      </c>
      <c r="I1" t="s">
        <v>5</v>
      </c>
    </row>
    <row r="2" spans="1:9" x14ac:dyDescent="0.25">
      <c r="A2">
        <v>1</v>
      </c>
      <c r="B2">
        <v>96.783968414277794</v>
      </c>
      <c r="G2">
        <v>1</v>
      </c>
      <c r="H2">
        <v>8.9598350032235596E-3</v>
      </c>
      <c r="I2">
        <f>H2*5</f>
        <v>4.4799175016117798E-2</v>
      </c>
    </row>
    <row r="3" spans="1:9" x14ac:dyDescent="0.25">
      <c r="A3">
        <v>2</v>
      </c>
      <c r="B3">
        <v>118.9808747951554</v>
      </c>
      <c r="G3">
        <v>2</v>
      </c>
      <c r="H3">
        <v>2.7718068808572131E-2</v>
      </c>
      <c r="I3">
        <f>H3*7.5</f>
        <v>0.20788551606429098</v>
      </c>
    </row>
    <row r="4" spans="1:9" x14ac:dyDescent="0.25">
      <c r="A4">
        <v>3</v>
      </c>
      <c r="B4">
        <v>128.35456323720544</v>
      </c>
      <c r="G4">
        <v>3</v>
      </c>
      <c r="H4">
        <v>3.4823830194144777E-2</v>
      </c>
      <c r="I4">
        <f>H4*10</f>
        <v>0.34823830194144778</v>
      </c>
    </row>
    <row r="5" spans="1:9" x14ac:dyDescent="0.25">
      <c r="A5">
        <v>4</v>
      </c>
      <c r="B5">
        <v>134.07895551738537</v>
      </c>
    </row>
    <row r="6" spans="1:9" x14ac:dyDescent="0.25">
      <c r="A6">
        <v>5</v>
      </c>
      <c r="B6">
        <v>100.87811762423759</v>
      </c>
      <c r="H6" t="s">
        <v>16</v>
      </c>
      <c r="I6" t="s">
        <v>15</v>
      </c>
    </row>
    <row r="7" spans="1:9" x14ac:dyDescent="0.25">
      <c r="A7">
        <v>6</v>
      </c>
      <c r="B7">
        <v>126.91809960410561</v>
      </c>
      <c r="G7">
        <v>1</v>
      </c>
      <c r="H7">
        <f>EXP(H2+0.5*I2^2)</f>
        <v>1.0100131171482063</v>
      </c>
      <c r="I7">
        <f>H7^2*(EXP(I2^2-1))</f>
        <v>0.37603750326908014</v>
      </c>
    </row>
    <row r="8" spans="1:9" x14ac:dyDescent="0.25">
      <c r="A8">
        <v>7</v>
      </c>
      <c r="B8">
        <v>107.63337303346709</v>
      </c>
      <c r="G8">
        <v>2</v>
      </c>
      <c r="H8">
        <f t="shared" ref="H8:H9" si="0">EXP(H3+0.5*I3^2)</f>
        <v>1.0505630543733151</v>
      </c>
      <c r="I8">
        <f t="shared" ref="I8:I9" si="1">H8^2*(EXP(I3^2-1))</f>
        <v>0.42395367499593745</v>
      </c>
    </row>
    <row r="9" spans="1:9" x14ac:dyDescent="0.25">
      <c r="A9">
        <v>8</v>
      </c>
      <c r="B9">
        <v>116.93403827602243</v>
      </c>
      <c r="G9">
        <v>3</v>
      </c>
      <c r="H9">
        <f t="shared" si="0"/>
        <v>1.1001634807922509</v>
      </c>
      <c r="I9">
        <f t="shared" si="1"/>
        <v>0.50267446275976646</v>
      </c>
    </row>
    <row r="10" spans="1:9" x14ac:dyDescent="0.25">
      <c r="A10">
        <v>9</v>
      </c>
      <c r="B10">
        <v>116.37204236803898</v>
      </c>
    </row>
    <row r="11" spans="1:9" x14ac:dyDescent="0.25">
      <c r="A11">
        <v>10</v>
      </c>
      <c r="B11">
        <v>118.57780973543396</v>
      </c>
    </row>
    <row r="12" spans="1:9" x14ac:dyDescent="0.25">
      <c r="A12">
        <v>11</v>
      </c>
      <c r="B12">
        <v>98.767472850699747</v>
      </c>
    </row>
    <row r="13" spans="1:9" x14ac:dyDescent="0.25">
      <c r="A13">
        <v>12</v>
      </c>
      <c r="B13">
        <v>109.60320807569357</v>
      </c>
    </row>
    <row r="14" spans="1:9" x14ac:dyDescent="0.25">
      <c r="A14">
        <v>13</v>
      </c>
      <c r="B14">
        <v>86.64582707849523</v>
      </c>
    </row>
    <row r="15" spans="1:9" x14ac:dyDescent="0.25">
      <c r="A15">
        <v>14</v>
      </c>
      <c r="B15">
        <v>78.32099864757555</v>
      </c>
    </row>
    <row r="16" spans="1:9" x14ac:dyDescent="0.25">
      <c r="A16">
        <v>15</v>
      </c>
      <c r="B16">
        <v>61.4342931954452</v>
      </c>
    </row>
    <row r="17" spans="1:2" x14ac:dyDescent="0.25">
      <c r="A17">
        <v>16</v>
      </c>
      <c r="B17">
        <v>48.607269592284823</v>
      </c>
    </row>
    <row r="18" spans="1:2" x14ac:dyDescent="0.25">
      <c r="A18">
        <v>17</v>
      </c>
      <c r="B18">
        <v>45.010669401121696</v>
      </c>
    </row>
    <row r="19" spans="1:2" x14ac:dyDescent="0.25">
      <c r="A19">
        <v>18</v>
      </c>
      <c r="B19">
        <v>43.144556687104824</v>
      </c>
    </row>
    <row r="20" spans="1:2" x14ac:dyDescent="0.25">
      <c r="A20">
        <v>19</v>
      </c>
      <c r="B20">
        <v>40.720485891087712</v>
      </c>
    </row>
    <row r="21" spans="1:2" x14ac:dyDescent="0.25">
      <c r="A21">
        <v>20</v>
      </c>
      <c r="B21">
        <v>28.129479226577928</v>
      </c>
    </row>
    <row r="22" spans="1:2" x14ac:dyDescent="0.25">
      <c r="A22">
        <v>21</v>
      </c>
      <c r="B22">
        <v>21.202743146212562</v>
      </c>
    </row>
    <row r="23" spans="1:2" x14ac:dyDescent="0.25">
      <c r="A23">
        <v>22</v>
      </c>
      <c r="B23">
        <v>26.903700079268273</v>
      </c>
    </row>
    <row r="24" spans="1:2" x14ac:dyDescent="0.25">
      <c r="A24">
        <v>23</v>
      </c>
      <c r="B24">
        <v>30.326681260217782</v>
      </c>
    </row>
    <row r="25" spans="1:2" x14ac:dyDescent="0.25">
      <c r="A25">
        <v>24</v>
      </c>
      <c r="B25">
        <v>31.087461459032074</v>
      </c>
    </row>
    <row r="26" spans="1:2" x14ac:dyDescent="0.25">
      <c r="A26">
        <v>25</v>
      </c>
      <c r="B26">
        <v>33.305013696990208</v>
      </c>
    </row>
    <row r="27" spans="1:2" x14ac:dyDescent="0.25">
      <c r="A27">
        <v>26</v>
      </c>
      <c r="B27">
        <v>39.422657993414575</v>
      </c>
    </row>
    <row r="28" spans="1:2" x14ac:dyDescent="0.25">
      <c r="A28">
        <v>27</v>
      </c>
      <c r="B28">
        <v>57.968345894008742</v>
      </c>
    </row>
    <row r="29" spans="1:2" x14ac:dyDescent="0.25">
      <c r="A29">
        <v>28</v>
      </c>
      <c r="B29">
        <v>93.385505269084462</v>
      </c>
    </row>
    <row r="30" spans="1:2" x14ac:dyDescent="0.25">
      <c r="A30">
        <v>29</v>
      </c>
      <c r="B30">
        <v>86.620714849689122</v>
      </c>
    </row>
    <row r="31" spans="1:2" x14ac:dyDescent="0.25">
      <c r="A31">
        <v>30</v>
      </c>
      <c r="B31">
        <v>107.51925842771381</v>
      </c>
    </row>
    <row r="32" spans="1:2" x14ac:dyDescent="0.25">
      <c r="A32">
        <v>31</v>
      </c>
      <c r="B32">
        <v>134.88902836656473</v>
      </c>
    </row>
    <row r="33" spans="1:2" x14ac:dyDescent="0.25">
      <c r="A33">
        <v>32</v>
      </c>
      <c r="B33">
        <v>123.95061161493368</v>
      </c>
    </row>
    <row r="34" spans="1:2" x14ac:dyDescent="0.25">
      <c r="A34">
        <v>33</v>
      </c>
      <c r="B34">
        <v>102.64998706300403</v>
      </c>
    </row>
    <row r="35" spans="1:2" x14ac:dyDescent="0.25">
      <c r="A35">
        <v>34</v>
      </c>
      <c r="B35">
        <v>73.908029045977329</v>
      </c>
    </row>
    <row r="36" spans="1:2" x14ac:dyDescent="0.25">
      <c r="A36">
        <v>35</v>
      </c>
      <c r="B36">
        <v>76.160908585702202</v>
      </c>
    </row>
    <row r="37" spans="1:2" x14ac:dyDescent="0.25">
      <c r="A37">
        <v>36</v>
      </c>
      <c r="B37">
        <v>98.667364577632711</v>
      </c>
    </row>
    <row r="38" spans="1:2" x14ac:dyDescent="0.25">
      <c r="A38">
        <v>37</v>
      </c>
      <c r="B38">
        <v>116.1180871500419</v>
      </c>
    </row>
    <row r="39" spans="1:2" x14ac:dyDescent="0.25">
      <c r="A39">
        <v>38</v>
      </c>
      <c r="B39">
        <v>114.05500241149598</v>
      </c>
    </row>
    <row r="40" spans="1:2" x14ac:dyDescent="0.25">
      <c r="A40">
        <v>39</v>
      </c>
      <c r="B40">
        <v>68.055643017081721</v>
      </c>
    </row>
    <row r="41" spans="1:2" x14ac:dyDescent="0.25">
      <c r="A41">
        <v>40</v>
      </c>
      <c r="B41">
        <v>66.928452583582839</v>
      </c>
    </row>
    <row r="42" spans="1:2" x14ac:dyDescent="0.25">
      <c r="A42">
        <v>41</v>
      </c>
      <c r="B42">
        <v>69.61083177710772</v>
      </c>
    </row>
    <row r="43" spans="1:2" x14ac:dyDescent="0.25">
      <c r="A43">
        <v>42</v>
      </c>
      <c r="B43">
        <v>61.367447141383494</v>
      </c>
    </row>
    <row r="44" spans="1:2" x14ac:dyDescent="0.25">
      <c r="A44">
        <v>43</v>
      </c>
      <c r="B44">
        <v>61.365904616691552</v>
      </c>
    </row>
    <row r="45" spans="1:2" x14ac:dyDescent="0.25">
      <c r="A45">
        <v>44</v>
      </c>
      <c r="B45">
        <v>48.026160134732407</v>
      </c>
    </row>
    <row r="46" spans="1:2" x14ac:dyDescent="0.25">
      <c r="A46">
        <v>45</v>
      </c>
      <c r="B46">
        <v>51.934448474374499</v>
      </c>
    </row>
    <row r="47" spans="1:2" x14ac:dyDescent="0.25">
      <c r="A47">
        <v>46</v>
      </c>
      <c r="B47">
        <v>47.732532288416557</v>
      </c>
    </row>
    <row r="48" spans="1:2" x14ac:dyDescent="0.25">
      <c r="A48">
        <v>47</v>
      </c>
      <c r="B48">
        <v>58.428414326910016</v>
      </c>
    </row>
    <row r="49" spans="1:2" x14ac:dyDescent="0.25">
      <c r="A49">
        <v>48</v>
      </c>
      <c r="B49">
        <v>39.130423354338369</v>
      </c>
    </row>
    <row r="50" spans="1:2" x14ac:dyDescent="0.25">
      <c r="A50">
        <v>49</v>
      </c>
      <c r="B50">
        <v>37.968101336852058</v>
      </c>
    </row>
    <row r="51" spans="1:2" x14ac:dyDescent="0.25">
      <c r="A51">
        <v>50</v>
      </c>
      <c r="B51">
        <v>49.782763373108324</v>
      </c>
    </row>
    <row r="52" spans="1:2" x14ac:dyDescent="0.25">
      <c r="A52">
        <v>51</v>
      </c>
      <c r="B52">
        <v>39.345495263914856</v>
      </c>
    </row>
    <row r="53" spans="1:2" x14ac:dyDescent="0.25">
      <c r="A53">
        <v>52</v>
      </c>
      <c r="B53">
        <v>38.261462044451825</v>
      </c>
    </row>
    <row r="54" spans="1:2" x14ac:dyDescent="0.25">
      <c r="A54">
        <v>53</v>
      </c>
      <c r="B54">
        <v>46.012500613032429</v>
      </c>
    </row>
    <row r="55" spans="1:2" x14ac:dyDescent="0.25">
      <c r="A55">
        <v>54</v>
      </c>
      <c r="B55">
        <v>59.722079936543153</v>
      </c>
    </row>
    <row r="56" spans="1:2" x14ac:dyDescent="0.25">
      <c r="A56">
        <v>55</v>
      </c>
      <c r="B56">
        <v>74.184705405401871</v>
      </c>
    </row>
    <row r="57" spans="1:2" x14ac:dyDescent="0.25">
      <c r="A57">
        <v>56</v>
      </c>
      <c r="B57">
        <v>63.860826893263031</v>
      </c>
    </row>
    <row r="58" spans="1:2" x14ac:dyDescent="0.25">
      <c r="A58">
        <v>57</v>
      </c>
      <c r="B58">
        <v>77.32715910031105</v>
      </c>
    </row>
    <row r="59" spans="1:2" x14ac:dyDescent="0.25">
      <c r="A59">
        <v>58</v>
      </c>
      <c r="B59">
        <v>75.80797393518327</v>
      </c>
    </row>
    <row r="60" spans="1:2" x14ac:dyDescent="0.25">
      <c r="A60">
        <v>59</v>
      </c>
      <c r="B60">
        <v>89.43620145012801</v>
      </c>
    </row>
    <row r="61" spans="1:2" x14ac:dyDescent="0.25">
      <c r="A61">
        <v>60</v>
      </c>
      <c r="B61">
        <v>77.91547022244346</v>
      </c>
    </row>
    <row r="62" spans="1:2" x14ac:dyDescent="0.25">
      <c r="A62">
        <v>61</v>
      </c>
      <c r="B62">
        <v>91.929459910323516</v>
      </c>
    </row>
    <row r="63" spans="1:2" x14ac:dyDescent="0.25">
      <c r="A63">
        <v>62</v>
      </c>
      <c r="B63">
        <v>95.513475076732988</v>
      </c>
    </row>
    <row r="64" spans="1:2" x14ac:dyDescent="0.25">
      <c r="A64">
        <v>63</v>
      </c>
      <c r="B64">
        <v>92.19403075116918</v>
      </c>
    </row>
    <row r="65" spans="1:2" x14ac:dyDescent="0.25">
      <c r="A65">
        <v>64</v>
      </c>
      <c r="B65">
        <v>96.347460636059026</v>
      </c>
    </row>
    <row r="66" spans="1:2" x14ac:dyDescent="0.25">
      <c r="A66">
        <v>65</v>
      </c>
      <c r="B66">
        <v>115.38288145209553</v>
      </c>
    </row>
    <row r="67" spans="1:2" x14ac:dyDescent="0.25">
      <c r="A67">
        <v>66</v>
      </c>
      <c r="B67">
        <v>108.12119516832323</v>
      </c>
    </row>
    <row r="68" spans="1:2" x14ac:dyDescent="0.25">
      <c r="A68">
        <v>67</v>
      </c>
      <c r="B68">
        <v>167.16173777983198</v>
      </c>
    </row>
    <row r="69" spans="1:2" x14ac:dyDescent="0.25">
      <c r="A69">
        <v>68</v>
      </c>
      <c r="B69">
        <v>164.07866995142649</v>
      </c>
    </row>
    <row r="70" spans="1:2" x14ac:dyDescent="0.25">
      <c r="A70">
        <v>69</v>
      </c>
      <c r="B70">
        <v>223.05050450441706</v>
      </c>
    </row>
    <row r="71" spans="1:2" x14ac:dyDescent="0.25">
      <c r="A71">
        <v>70</v>
      </c>
      <c r="B71">
        <v>280.53479613231514</v>
      </c>
    </row>
    <row r="72" spans="1:2" x14ac:dyDescent="0.25">
      <c r="A72">
        <v>71</v>
      </c>
      <c r="B72">
        <v>236.01710536539937</v>
      </c>
    </row>
    <row r="73" spans="1:2" x14ac:dyDescent="0.25">
      <c r="A73">
        <v>72</v>
      </c>
      <c r="B73">
        <v>225.80571493488665</v>
      </c>
    </row>
    <row r="74" spans="1:2" x14ac:dyDescent="0.25">
      <c r="A74">
        <v>73</v>
      </c>
      <c r="B74">
        <v>260.16704239962058</v>
      </c>
    </row>
    <row r="75" spans="1:2" x14ac:dyDescent="0.25">
      <c r="A75">
        <v>74</v>
      </c>
      <c r="B75">
        <v>293.70986317360666</v>
      </c>
    </row>
    <row r="76" spans="1:2" x14ac:dyDescent="0.25">
      <c r="A76">
        <v>75</v>
      </c>
      <c r="B76">
        <v>282.19163401570529</v>
      </c>
    </row>
    <row r="77" spans="1:2" x14ac:dyDescent="0.25">
      <c r="A77">
        <v>76</v>
      </c>
      <c r="B77">
        <v>302.19314202869458</v>
      </c>
    </row>
    <row r="78" spans="1:2" x14ac:dyDescent="0.25">
      <c r="A78">
        <v>77</v>
      </c>
      <c r="B78">
        <v>220.49481588362971</v>
      </c>
    </row>
    <row r="79" spans="1:2" x14ac:dyDescent="0.25">
      <c r="A79">
        <v>78</v>
      </c>
      <c r="B79">
        <v>292.55114473891979</v>
      </c>
    </row>
    <row r="80" spans="1:2" x14ac:dyDescent="0.25">
      <c r="A80">
        <v>79</v>
      </c>
      <c r="B80">
        <v>260.03806336916671</v>
      </c>
    </row>
    <row r="81" spans="1:2" x14ac:dyDescent="0.25">
      <c r="A81">
        <v>80</v>
      </c>
      <c r="B81">
        <v>320.96376193861721</v>
      </c>
    </row>
    <row r="82" spans="1:2" x14ac:dyDescent="0.25">
      <c r="A82">
        <v>81</v>
      </c>
      <c r="B82">
        <v>401.18508568428922</v>
      </c>
    </row>
    <row r="83" spans="1:2" x14ac:dyDescent="0.25">
      <c r="A83">
        <v>82</v>
      </c>
      <c r="B83">
        <v>367.50618546765088</v>
      </c>
    </row>
    <row r="84" spans="1:2" x14ac:dyDescent="0.25">
      <c r="A84">
        <v>83</v>
      </c>
      <c r="B84">
        <v>375.46892865673084</v>
      </c>
    </row>
    <row r="85" spans="1:2" x14ac:dyDescent="0.25">
      <c r="A85">
        <v>84</v>
      </c>
      <c r="B85">
        <v>447.55734729813878</v>
      </c>
    </row>
    <row r="86" spans="1:2" x14ac:dyDescent="0.25">
      <c r="A86">
        <v>85</v>
      </c>
      <c r="B86">
        <v>622.63758182324398</v>
      </c>
    </row>
    <row r="87" spans="1:2" x14ac:dyDescent="0.25">
      <c r="A87">
        <v>86</v>
      </c>
      <c r="B87">
        <v>698.14257516638395</v>
      </c>
    </row>
    <row r="88" spans="1:2" x14ac:dyDescent="0.25">
      <c r="A88">
        <v>87</v>
      </c>
      <c r="B88">
        <v>651.54944774690875</v>
      </c>
    </row>
    <row r="89" spans="1:2" x14ac:dyDescent="0.25">
      <c r="A89">
        <v>88</v>
      </c>
      <c r="B89">
        <v>744.37489576739665</v>
      </c>
    </row>
    <row r="90" spans="1:2" x14ac:dyDescent="0.25">
      <c r="A90">
        <v>89</v>
      </c>
      <c r="B90">
        <v>659.67807702260734</v>
      </c>
    </row>
    <row r="91" spans="1:2" x14ac:dyDescent="0.25">
      <c r="A91">
        <v>90</v>
      </c>
      <c r="B91">
        <v>455.76889129914031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Stonks</vt:lpstr>
      <vt:lpstr>sample paths</vt:lpstr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Imelda Barnes</dc:creator>
  <cp:lastModifiedBy>Imelda Barnes</cp:lastModifiedBy>
  <dcterms:created xsi:type="dcterms:W3CDTF">2021-01-27T20:46:32Z</dcterms:created>
  <dcterms:modified xsi:type="dcterms:W3CDTF">2021-01-29T10:06:33Z</dcterms:modified>
</cp:coreProperties>
</file>